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4/"/>
    </mc:Choice>
  </mc:AlternateContent>
  <xr:revisionPtr revIDLastSave="145" documentId="8_{BB947B91-5648-4AFE-89AE-C027CFA57C6B}" xr6:coauthVersionLast="47" xr6:coauthVersionMax="47" xr10:uidLastSave="{7DC37E98-1337-457C-9283-7BC3A7FD6FB7}"/>
  <bookViews>
    <workbookView xWindow="-110" yWindow="-110" windowWidth="19420" windowHeight="11500" xr2:uid="{CD52136D-9565-4131-9524-B21B02F90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D2" i="1"/>
  <c r="B17" i="1" l="1"/>
  <c r="C17" i="1" s="1"/>
  <c r="D17" i="1" s="1"/>
  <c r="D3" i="1"/>
  <c r="C10" i="1" s="1"/>
  <c r="D11" i="1"/>
  <c r="B16" i="1"/>
  <c r="C16" i="1" s="1"/>
  <c r="D4" i="1" l="1"/>
  <c r="D5" i="1" s="1"/>
  <c r="B15" i="1"/>
  <c r="B9" i="1"/>
</calcChain>
</file>

<file path=xl/sharedStrings.xml><?xml version="1.0" encoding="utf-8"?>
<sst xmlns="http://schemas.openxmlformats.org/spreadsheetml/2006/main" count="8" uniqueCount="6">
  <si>
    <t>t</t>
  </si>
  <si>
    <t>Liability 
(Rs. crore)</t>
  </si>
  <si>
    <t>Principal</t>
  </si>
  <si>
    <t>Coupon</t>
  </si>
  <si>
    <t>Coupon on 
bond with 
mty t</t>
  </si>
  <si>
    <t>Par value of bond with 
mty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</si>
</sst>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0"/>
      <color theme="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center" indent="1"/>
    </xf>
    <xf numFmtId="8" fontId="0" fillId="0" borderId="0" xfId="0" applyNumberFormat="1" applyAlignment="1">
      <alignment horizontal="right" vertical="center" indent="1"/>
    </xf>
    <xf numFmtId="10" fontId="0" fillId="0" borderId="0" xfId="0" applyNumberFormat="1" applyAlignment="1">
      <alignment horizontal="righ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 indent="1"/>
    </xf>
    <xf numFmtId="0" fontId="0" fillId="2" borderId="0" xfId="0" applyFill="1" applyAlignment="1">
      <alignment horizontal="right" vertical="top" wrapText="1" indent="1"/>
    </xf>
    <xf numFmtId="0" fontId="0" fillId="2" borderId="0" xfId="0" applyFill="1" applyAlignment="1">
      <alignment horizontal="right" vertical="center" indent="1"/>
    </xf>
    <xf numFmtId="6" fontId="0" fillId="3" borderId="0" xfId="0" applyNumberFormat="1" applyFill="1" applyAlignment="1">
      <alignment horizontal="right" vertical="center" indent="1"/>
    </xf>
    <xf numFmtId="6" fontId="0" fillId="4" borderId="0" xfId="0" applyNumberFormat="1" applyFill="1" applyAlignment="1">
      <alignment horizontal="right" vertical="center" indent="1"/>
    </xf>
    <xf numFmtId="6" fontId="0" fillId="5" borderId="0" xfId="0" applyNumberFormat="1" applyFill="1" applyAlignment="1">
      <alignment horizontal="right" vertical="center" indent="1"/>
    </xf>
    <xf numFmtId="6" fontId="0" fillId="0" borderId="1" xfId="0" applyNumberFormat="1" applyBorder="1" applyAlignment="1">
      <alignment horizontal="right" vertical="center" indent="1"/>
    </xf>
    <xf numFmtId="8" fontId="0" fillId="0" borderId="1" xfId="0" applyNumberForma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76EB-A945-4E39-A309-AC7DD86BE4FB}">
  <dimension ref="A1:D17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35"/>
  <cols>
    <col min="1" max="1" width="10.69921875" style="1" bestFit="1" customWidth="1"/>
    <col min="2" max="2" width="15.69921875" style="1" customWidth="1"/>
    <col min="3" max="4" width="15.69921875" customWidth="1"/>
  </cols>
  <sheetData>
    <row r="1" spans="1:4" s="4" customFormat="1" ht="50" customHeight="1" x14ac:dyDescent="0.35">
      <c r="A1" s="6" t="s">
        <v>0</v>
      </c>
      <c r="B1" s="5" t="s">
        <v>1</v>
      </c>
      <c r="C1" s="5" t="s">
        <v>4</v>
      </c>
      <c r="D1" s="5" t="s">
        <v>5</v>
      </c>
    </row>
    <row r="2" spans="1:4" x14ac:dyDescent="0.35">
      <c r="A2" s="7">
        <v>3</v>
      </c>
      <c r="B2" s="2">
        <v>5</v>
      </c>
      <c r="C2" s="3">
        <v>7.3999999999999996E-2</v>
      </c>
      <c r="D2" s="8">
        <f>B2*POWER(10,7)/(1+C2)</f>
        <v>46554934.823091246</v>
      </c>
    </row>
    <row r="3" spans="1:4" x14ac:dyDescent="0.35">
      <c r="A3" s="7">
        <v>2</v>
      </c>
      <c r="B3" s="2">
        <v>4.5</v>
      </c>
      <c r="C3" s="3">
        <v>7.2999999999999995E-2</v>
      </c>
      <c r="D3" s="9">
        <f>(B3*POWER(10,7)-SUMPRODUCT(C$2:C2,D$2:D2))/(1+C3)</f>
        <v>38727805.054139093</v>
      </c>
    </row>
    <row r="4" spans="1:4" x14ac:dyDescent="0.35">
      <c r="A4" s="7">
        <v>1</v>
      </c>
      <c r="B4" s="2">
        <v>4</v>
      </c>
      <c r="C4" s="3">
        <v>7.1999999999999995E-2</v>
      </c>
      <c r="D4" s="10">
        <f>(B4*POWER(10,7)-SUMPRODUCT(C$2:C3,D$2:D3))/(1+C4)</f>
        <v>31462504.714681987</v>
      </c>
    </row>
    <row r="5" spans="1:4" ht="14" thickBot="1" x14ac:dyDescent="0.4">
      <c r="B5" s="12">
        <f>SUM(B2:B4)</f>
        <v>13.5</v>
      </c>
      <c r="D5" s="11">
        <f>SUM(D2:D4)</f>
        <v>116745244.59191233</v>
      </c>
    </row>
    <row r="6" spans="1:4" ht="14" thickTop="1" x14ac:dyDescent="0.35"/>
    <row r="7" spans="1:4" x14ac:dyDescent="0.35">
      <c r="B7" s="1" t="s">
        <v>2</v>
      </c>
    </row>
    <row r="8" spans="1:4" x14ac:dyDescent="0.35">
      <c r="A8" s="6" t="s">
        <v>0</v>
      </c>
      <c r="B8" s="7">
        <v>1</v>
      </c>
      <c r="C8" s="7">
        <v>2</v>
      </c>
      <c r="D8" s="7">
        <v>3</v>
      </c>
    </row>
    <row r="9" spans="1:4" x14ac:dyDescent="0.35">
      <c r="A9" s="1">
        <v>1</v>
      </c>
      <c r="B9" s="10">
        <f>D4</f>
        <v>31462504.714681987</v>
      </c>
      <c r="C9" s="10">
        <v>0</v>
      </c>
      <c r="D9" s="10">
        <v>0</v>
      </c>
    </row>
    <row r="10" spans="1:4" x14ac:dyDescent="0.35">
      <c r="A10" s="1">
        <v>2</v>
      </c>
      <c r="B10" s="9">
        <v>0</v>
      </c>
      <c r="C10" s="9">
        <f>D3</f>
        <v>38727805.054139093</v>
      </c>
      <c r="D10" s="9">
        <v>0</v>
      </c>
    </row>
    <row r="11" spans="1:4" x14ac:dyDescent="0.35">
      <c r="A11" s="1">
        <v>3</v>
      </c>
      <c r="B11" s="8">
        <v>0</v>
      </c>
      <c r="C11" s="8">
        <v>0</v>
      </c>
      <c r="D11" s="8">
        <f>D2</f>
        <v>46554934.823091246</v>
      </c>
    </row>
    <row r="13" spans="1:4" x14ac:dyDescent="0.35">
      <c r="B13" s="1" t="s">
        <v>3</v>
      </c>
    </row>
    <row r="14" spans="1:4" x14ac:dyDescent="0.35">
      <c r="A14" s="6" t="s">
        <v>0</v>
      </c>
      <c r="B14" s="7">
        <v>1</v>
      </c>
      <c r="C14" s="7">
        <v>2</v>
      </c>
      <c r="D14" s="7">
        <v>3</v>
      </c>
    </row>
    <row r="15" spans="1:4" x14ac:dyDescent="0.35">
      <c r="A15" s="1">
        <v>1</v>
      </c>
      <c r="B15" s="10">
        <f>D4*C4</f>
        <v>2265300.3394571031</v>
      </c>
      <c r="C15" s="10">
        <v>0</v>
      </c>
      <c r="D15" s="10">
        <v>0</v>
      </c>
    </row>
    <row r="16" spans="1:4" x14ac:dyDescent="0.35">
      <c r="A16" s="1">
        <v>2</v>
      </c>
      <c r="B16" s="9">
        <f>D3*C3</f>
        <v>2827129.7689521536</v>
      </c>
      <c r="C16" s="9">
        <f>B16</f>
        <v>2827129.7689521536</v>
      </c>
      <c r="D16" s="9">
        <v>0</v>
      </c>
    </row>
    <row r="17" spans="1:4" x14ac:dyDescent="0.35">
      <c r="A17" s="1">
        <v>3</v>
      </c>
      <c r="B17" s="8">
        <f>D2*C2</f>
        <v>3445065.1769087519</v>
      </c>
      <c r="C17" s="8">
        <f>B17</f>
        <v>3445065.1769087519</v>
      </c>
      <c r="D17" s="8">
        <f>C17</f>
        <v>3445065.1769087519</v>
      </c>
    </row>
  </sheetData>
  <sortState xmlns:xlrd2="http://schemas.microsoft.com/office/spreadsheetml/2017/richdata2" ref="A9:D11">
    <sortCondition ref="A9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Kunde</dc:creator>
  <cp:lastModifiedBy>Kunal Kunde</cp:lastModifiedBy>
  <dcterms:created xsi:type="dcterms:W3CDTF">2024-01-27T06:57:47Z</dcterms:created>
  <dcterms:modified xsi:type="dcterms:W3CDTF">2024-01-27T07:40:10Z</dcterms:modified>
</cp:coreProperties>
</file>