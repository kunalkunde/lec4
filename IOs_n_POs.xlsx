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2234f8afc0825c2/Documents/SOM 660/Lec 4/"/>
    </mc:Choice>
  </mc:AlternateContent>
  <xr:revisionPtr revIDLastSave="40" documentId="8_{D11121AF-82D3-4F37-8A60-4195E1722F26}" xr6:coauthVersionLast="47" xr6:coauthVersionMax="47" xr10:uidLastSave="{E22991A2-7F37-4598-899B-C78C79481E8C}"/>
  <bookViews>
    <workbookView xWindow="-110" yWindow="-110" windowWidth="19420" windowHeight="11500" xr2:uid="{FC1AF9D9-5A00-4F7D-A9CF-B91152E2313B}"/>
  </bookViews>
  <sheets>
    <sheet name="IOs and P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52" i="1" l="1"/>
  <c r="H252" i="1"/>
  <c r="B5" i="1"/>
  <c r="B7" i="1"/>
  <c r="C7" i="1"/>
  <c r="D7" i="1" s="1"/>
  <c r="E7" i="1" s="1"/>
  <c r="F7" i="1"/>
  <c r="G7" i="1"/>
  <c r="H7" i="1"/>
  <c r="I7" i="1"/>
  <c r="J7" i="1"/>
  <c r="B8" i="1"/>
  <c r="C8" i="1"/>
  <c r="F8" i="1"/>
  <c r="B9" i="1"/>
  <c r="F9" i="1"/>
  <c r="B10" i="1"/>
  <c r="F10" i="1"/>
  <c r="B11" i="1"/>
  <c r="F11" i="1"/>
  <c r="B12" i="1"/>
  <c r="F12" i="1"/>
  <c r="B13" i="1"/>
  <c r="F13" i="1"/>
  <c r="B14" i="1"/>
  <c r="F14" i="1"/>
  <c r="B15" i="1"/>
  <c r="F15" i="1"/>
  <c r="B16" i="1"/>
  <c r="F16" i="1"/>
  <c r="B17" i="1"/>
  <c r="F17" i="1"/>
  <c r="B18" i="1"/>
  <c r="F18" i="1"/>
  <c r="B19" i="1"/>
  <c r="F19" i="1"/>
  <c r="B20" i="1"/>
  <c r="F20" i="1"/>
  <c r="B21" i="1"/>
  <c r="F21" i="1"/>
  <c r="B22" i="1"/>
  <c r="F22" i="1"/>
  <c r="B23" i="1"/>
  <c r="F23" i="1"/>
  <c r="B24" i="1"/>
  <c r="F24" i="1"/>
  <c r="B25" i="1"/>
  <c r="F25" i="1"/>
  <c r="B26" i="1"/>
  <c r="F26" i="1"/>
  <c r="B27" i="1"/>
  <c r="F27" i="1"/>
  <c r="B28" i="1"/>
  <c r="F28" i="1"/>
  <c r="B29" i="1"/>
  <c r="F29" i="1"/>
  <c r="B30" i="1"/>
  <c r="F30" i="1"/>
  <c r="B31" i="1"/>
  <c r="F31" i="1"/>
  <c r="B32" i="1"/>
  <c r="F32" i="1"/>
  <c r="B33" i="1"/>
  <c r="F33" i="1"/>
  <c r="B34" i="1"/>
  <c r="F34" i="1"/>
  <c r="B35" i="1"/>
  <c r="F35" i="1"/>
  <c r="B36" i="1"/>
  <c r="F36" i="1"/>
  <c r="B37" i="1"/>
  <c r="F37" i="1"/>
  <c r="B38" i="1"/>
  <c r="F38" i="1"/>
  <c r="B39" i="1"/>
  <c r="F39" i="1"/>
  <c r="B40" i="1"/>
  <c r="F40" i="1"/>
  <c r="B41" i="1"/>
  <c r="F41" i="1"/>
  <c r="B42" i="1"/>
  <c r="F42" i="1"/>
  <c r="B43" i="1"/>
  <c r="F43" i="1"/>
  <c r="B44" i="1"/>
  <c r="F44" i="1"/>
  <c r="B45" i="1"/>
  <c r="F45" i="1"/>
  <c r="B46" i="1"/>
  <c r="F46" i="1"/>
  <c r="B47" i="1"/>
  <c r="F47" i="1"/>
  <c r="B48" i="1"/>
  <c r="F48" i="1"/>
  <c r="B49" i="1"/>
  <c r="F49" i="1"/>
  <c r="B50" i="1"/>
  <c r="F50" i="1"/>
  <c r="B51" i="1"/>
  <c r="F51" i="1"/>
  <c r="B52" i="1"/>
  <c r="F52" i="1"/>
  <c r="B53" i="1"/>
  <c r="F53" i="1"/>
  <c r="B54" i="1"/>
  <c r="F54" i="1"/>
  <c r="B55" i="1"/>
  <c r="F55" i="1"/>
  <c r="B56" i="1"/>
  <c r="F56" i="1"/>
  <c r="B57" i="1"/>
  <c r="F57" i="1"/>
  <c r="B58" i="1"/>
  <c r="F58" i="1"/>
  <c r="B59" i="1"/>
  <c r="F59" i="1"/>
  <c r="B60" i="1"/>
  <c r="F60" i="1"/>
  <c r="B61" i="1"/>
  <c r="F61" i="1"/>
  <c r="B62" i="1"/>
  <c r="F62" i="1"/>
  <c r="B63" i="1"/>
  <c r="F63" i="1"/>
  <c r="B64" i="1"/>
  <c r="F64" i="1"/>
  <c r="B65" i="1"/>
  <c r="F65" i="1"/>
  <c r="B66" i="1"/>
  <c r="F66" i="1"/>
  <c r="B67" i="1"/>
  <c r="F67" i="1"/>
  <c r="B68" i="1"/>
  <c r="F68" i="1"/>
  <c r="B69" i="1"/>
  <c r="F69" i="1"/>
  <c r="B70" i="1"/>
  <c r="F70" i="1"/>
  <c r="B71" i="1"/>
  <c r="F71" i="1"/>
  <c r="B72" i="1"/>
  <c r="F72" i="1"/>
  <c r="B73" i="1"/>
  <c r="F73" i="1"/>
  <c r="B74" i="1"/>
  <c r="F74" i="1"/>
  <c r="B75" i="1"/>
  <c r="F75" i="1"/>
  <c r="B76" i="1"/>
  <c r="F76" i="1"/>
  <c r="B77" i="1"/>
  <c r="F77" i="1"/>
  <c r="B78" i="1"/>
  <c r="F78" i="1"/>
  <c r="B79" i="1"/>
  <c r="F79" i="1"/>
  <c r="B80" i="1"/>
  <c r="F80" i="1"/>
  <c r="B81" i="1"/>
  <c r="F81" i="1"/>
  <c r="B82" i="1"/>
  <c r="F82" i="1"/>
  <c r="B83" i="1"/>
  <c r="F83" i="1"/>
  <c r="B84" i="1"/>
  <c r="F84" i="1"/>
  <c r="B85" i="1"/>
  <c r="F85" i="1"/>
  <c r="B86" i="1"/>
  <c r="F86" i="1"/>
  <c r="B87" i="1"/>
  <c r="F87" i="1"/>
  <c r="B88" i="1"/>
  <c r="F88" i="1"/>
  <c r="B89" i="1"/>
  <c r="F89" i="1"/>
  <c r="B90" i="1"/>
  <c r="F90" i="1"/>
  <c r="B91" i="1"/>
  <c r="F91" i="1"/>
  <c r="B92" i="1"/>
  <c r="F92" i="1"/>
  <c r="B93" i="1"/>
  <c r="F93" i="1"/>
  <c r="B94" i="1"/>
  <c r="F94" i="1"/>
  <c r="B95" i="1"/>
  <c r="F95" i="1"/>
  <c r="B96" i="1"/>
  <c r="F96" i="1"/>
  <c r="B97" i="1"/>
  <c r="F97" i="1"/>
  <c r="B98" i="1"/>
  <c r="F98" i="1"/>
  <c r="B99" i="1"/>
  <c r="F99" i="1"/>
  <c r="B100" i="1"/>
  <c r="F100" i="1"/>
  <c r="B101" i="1"/>
  <c r="F101" i="1"/>
  <c r="B102" i="1"/>
  <c r="F102" i="1"/>
  <c r="B103" i="1"/>
  <c r="F103" i="1"/>
  <c r="B104" i="1"/>
  <c r="F104" i="1"/>
  <c r="B105" i="1"/>
  <c r="F105" i="1"/>
  <c r="B106" i="1"/>
  <c r="F106" i="1"/>
  <c r="B107" i="1"/>
  <c r="F107" i="1"/>
  <c r="B108" i="1"/>
  <c r="F108" i="1"/>
  <c r="B109" i="1"/>
  <c r="F109" i="1"/>
  <c r="B110" i="1"/>
  <c r="F110" i="1"/>
  <c r="B111" i="1"/>
  <c r="F111" i="1"/>
  <c r="B112" i="1"/>
  <c r="F112" i="1"/>
  <c r="B113" i="1"/>
  <c r="F113" i="1"/>
  <c r="B114" i="1"/>
  <c r="F114" i="1"/>
  <c r="B115" i="1"/>
  <c r="F115" i="1"/>
  <c r="B116" i="1"/>
  <c r="F116" i="1"/>
  <c r="B117" i="1"/>
  <c r="F117" i="1"/>
  <c r="B118" i="1"/>
  <c r="F118" i="1"/>
  <c r="B119" i="1"/>
  <c r="F119" i="1"/>
  <c r="B120" i="1"/>
  <c r="F120" i="1"/>
  <c r="B121" i="1"/>
  <c r="F121" i="1"/>
  <c r="B122" i="1"/>
  <c r="F122" i="1"/>
  <c r="B123" i="1"/>
  <c r="F123" i="1"/>
  <c r="B124" i="1"/>
  <c r="F124" i="1"/>
  <c r="B125" i="1"/>
  <c r="F125" i="1"/>
  <c r="B126" i="1"/>
  <c r="F126" i="1"/>
  <c r="B127" i="1"/>
  <c r="F127" i="1"/>
  <c r="B128" i="1"/>
  <c r="F128" i="1"/>
  <c r="B129" i="1"/>
  <c r="F129" i="1"/>
  <c r="B130" i="1"/>
  <c r="F130" i="1"/>
  <c r="B131" i="1"/>
  <c r="F131" i="1"/>
  <c r="B132" i="1"/>
  <c r="F132" i="1"/>
  <c r="B133" i="1"/>
  <c r="F133" i="1"/>
  <c r="B134" i="1"/>
  <c r="F134" i="1"/>
  <c r="B135" i="1"/>
  <c r="F135" i="1"/>
  <c r="B136" i="1"/>
  <c r="F136" i="1"/>
  <c r="B137" i="1"/>
  <c r="F137" i="1"/>
  <c r="B138" i="1"/>
  <c r="F138" i="1"/>
  <c r="B139" i="1"/>
  <c r="F139" i="1"/>
  <c r="B140" i="1"/>
  <c r="F140" i="1"/>
  <c r="B141" i="1"/>
  <c r="F141" i="1"/>
  <c r="B142" i="1"/>
  <c r="F142" i="1"/>
  <c r="B143" i="1"/>
  <c r="F143" i="1"/>
  <c r="B144" i="1"/>
  <c r="F144" i="1"/>
  <c r="B145" i="1"/>
  <c r="F145" i="1"/>
  <c r="B146" i="1"/>
  <c r="F146" i="1"/>
  <c r="B147" i="1"/>
  <c r="F147" i="1"/>
  <c r="B148" i="1"/>
  <c r="F148" i="1"/>
  <c r="B149" i="1"/>
  <c r="F149" i="1"/>
  <c r="B150" i="1"/>
  <c r="F150" i="1"/>
  <c r="B151" i="1"/>
  <c r="F151" i="1"/>
  <c r="B152" i="1"/>
  <c r="F152" i="1"/>
  <c r="B153" i="1"/>
  <c r="F153" i="1"/>
  <c r="B154" i="1"/>
  <c r="F154" i="1"/>
  <c r="B155" i="1"/>
  <c r="F155" i="1"/>
  <c r="B156" i="1"/>
  <c r="F156" i="1"/>
  <c r="B157" i="1"/>
  <c r="F157" i="1"/>
  <c r="B158" i="1"/>
  <c r="F158" i="1"/>
  <c r="B159" i="1"/>
  <c r="F159" i="1"/>
  <c r="B160" i="1"/>
  <c r="F160" i="1"/>
  <c r="B161" i="1"/>
  <c r="F161" i="1"/>
  <c r="B162" i="1"/>
  <c r="F162" i="1"/>
  <c r="B163" i="1"/>
  <c r="F163" i="1"/>
  <c r="B164" i="1"/>
  <c r="F164" i="1"/>
  <c r="B165" i="1"/>
  <c r="F165" i="1"/>
  <c r="B166" i="1"/>
  <c r="F166" i="1"/>
  <c r="B167" i="1"/>
  <c r="F167" i="1"/>
  <c r="B168" i="1"/>
  <c r="F168" i="1"/>
  <c r="B169" i="1"/>
  <c r="F169" i="1"/>
  <c r="B170" i="1"/>
  <c r="F170" i="1"/>
  <c r="B171" i="1"/>
  <c r="F171" i="1"/>
  <c r="B172" i="1"/>
  <c r="F172" i="1"/>
  <c r="B173" i="1"/>
  <c r="F173" i="1"/>
  <c r="B174" i="1"/>
  <c r="F174" i="1"/>
  <c r="B175" i="1"/>
  <c r="F175" i="1"/>
  <c r="B176" i="1"/>
  <c r="F176" i="1"/>
  <c r="B177" i="1"/>
  <c r="F177" i="1"/>
  <c r="B178" i="1"/>
  <c r="F178" i="1"/>
  <c r="B179" i="1"/>
  <c r="F179" i="1"/>
  <c r="B180" i="1"/>
  <c r="F180" i="1"/>
  <c r="B181" i="1"/>
  <c r="F181" i="1"/>
  <c r="B182" i="1"/>
  <c r="F182" i="1"/>
  <c r="B183" i="1"/>
  <c r="F183" i="1"/>
  <c r="B184" i="1"/>
  <c r="F184" i="1"/>
  <c r="B185" i="1"/>
  <c r="F185" i="1"/>
  <c r="B186" i="1"/>
  <c r="F186" i="1"/>
  <c r="B187" i="1"/>
  <c r="F187" i="1"/>
  <c r="B188" i="1"/>
  <c r="F188" i="1"/>
  <c r="B189" i="1"/>
  <c r="F189" i="1"/>
  <c r="B190" i="1"/>
  <c r="F190" i="1"/>
  <c r="B191" i="1"/>
  <c r="F191" i="1"/>
  <c r="B192" i="1"/>
  <c r="F192" i="1"/>
  <c r="B193" i="1"/>
  <c r="F193" i="1"/>
  <c r="B194" i="1"/>
  <c r="F194" i="1"/>
  <c r="B195" i="1"/>
  <c r="F195" i="1"/>
  <c r="B196" i="1"/>
  <c r="F196" i="1"/>
  <c r="B197" i="1"/>
  <c r="F197" i="1"/>
  <c r="B198" i="1"/>
  <c r="F198" i="1"/>
  <c r="B199" i="1"/>
  <c r="F199" i="1"/>
  <c r="B200" i="1"/>
  <c r="F200" i="1"/>
  <c r="B201" i="1"/>
  <c r="F201" i="1"/>
  <c r="B202" i="1"/>
  <c r="F202" i="1"/>
  <c r="B203" i="1"/>
  <c r="F203" i="1"/>
  <c r="B204" i="1"/>
  <c r="F204" i="1"/>
  <c r="B205" i="1"/>
  <c r="F205" i="1"/>
  <c r="B206" i="1"/>
  <c r="F206" i="1"/>
  <c r="B207" i="1"/>
  <c r="F207" i="1"/>
  <c r="B208" i="1"/>
  <c r="F208" i="1"/>
  <c r="B209" i="1"/>
  <c r="F209" i="1"/>
  <c r="B210" i="1"/>
  <c r="F210" i="1"/>
  <c r="B211" i="1"/>
  <c r="F211" i="1"/>
  <c r="B212" i="1"/>
  <c r="F212" i="1"/>
  <c r="B213" i="1"/>
  <c r="F213" i="1"/>
  <c r="B214" i="1"/>
  <c r="F214" i="1"/>
  <c r="B215" i="1"/>
  <c r="F215" i="1"/>
  <c r="B216" i="1"/>
  <c r="F216" i="1"/>
  <c r="B217" i="1"/>
  <c r="F217" i="1"/>
  <c r="B218" i="1"/>
  <c r="F218" i="1"/>
  <c r="B219" i="1"/>
  <c r="F219" i="1"/>
  <c r="B220" i="1"/>
  <c r="F220" i="1"/>
  <c r="B221" i="1"/>
  <c r="F221" i="1"/>
  <c r="B222" i="1"/>
  <c r="F222" i="1"/>
  <c r="B223" i="1"/>
  <c r="F223" i="1"/>
  <c r="B224" i="1"/>
  <c r="F224" i="1"/>
  <c r="B225" i="1"/>
  <c r="F225" i="1"/>
  <c r="B226" i="1"/>
  <c r="F226" i="1"/>
  <c r="B227" i="1"/>
  <c r="F227" i="1"/>
  <c r="B228" i="1"/>
  <c r="F228" i="1"/>
  <c r="B229" i="1"/>
  <c r="F229" i="1"/>
  <c r="B230" i="1"/>
  <c r="F230" i="1"/>
  <c r="B231" i="1"/>
  <c r="F231" i="1"/>
  <c r="B232" i="1"/>
  <c r="F232" i="1"/>
  <c r="B233" i="1"/>
  <c r="F233" i="1"/>
  <c r="B234" i="1"/>
  <c r="F234" i="1"/>
  <c r="B235" i="1"/>
  <c r="F235" i="1"/>
  <c r="B236" i="1"/>
  <c r="F236" i="1"/>
  <c r="B237" i="1"/>
  <c r="F237" i="1"/>
  <c r="B238" i="1"/>
  <c r="F238" i="1"/>
  <c r="B239" i="1"/>
  <c r="F239" i="1"/>
  <c r="B240" i="1"/>
  <c r="F240" i="1"/>
  <c r="B241" i="1"/>
  <c r="F241" i="1"/>
  <c r="B242" i="1"/>
  <c r="F242" i="1"/>
  <c r="B243" i="1"/>
  <c r="F243" i="1"/>
  <c r="B244" i="1"/>
  <c r="F244" i="1"/>
  <c r="B245" i="1"/>
  <c r="F245" i="1"/>
  <c r="B246" i="1"/>
  <c r="F246" i="1"/>
  <c r="D8" i="1" l="1"/>
  <c r="I8" i="1" s="1"/>
  <c r="J8" i="1" s="1"/>
  <c r="G8" i="1"/>
  <c r="H8" i="1" s="1"/>
  <c r="E8" i="1" l="1"/>
  <c r="C9" i="1" l="1"/>
  <c r="D9" i="1" l="1"/>
  <c r="G9" i="1"/>
  <c r="H9" i="1" l="1"/>
  <c r="I9" i="1"/>
  <c r="E9" i="1"/>
  <c r="C10" i="1" l="1"/>
  <c r="J9" i="1"/>
  <c r="D10" i="1" l="1"/>
  <c r="G10" i="1"/>
  <c r="H10" i="1" l="1"/>
  <c r="I10" i="1"/>
  <c r="E10" i="1"/>
  <c r="C11" i="1" l="1"/>
  <c r="J10" i="1"/>
  <c r="D11" i="1" l="1"/>
  <c r="G11" i="1"/>
  <c r="H11" i="1" s="1"/>
  <c r="I11" i="1" l="1"/>
  <c r="J11" i="1" s="1"/>
  <c r="E11" i="1"/>
  <c r="C12" i="1" l="1"/>
  <c r="D12" i="1" l="1"/>
  <c r="G12" i="1"/>
  <c r="H12" i="1" s="1"/>
  <c r="I12" i="1" l="1"/>
  <c r="J12" i="1" s="1"/>
  <c r="E12" i="1"/>
  <c r="C13" i="1" l="1"/>
  <c r="D13" i="1" l="1"/>
  <c r="G13" i="1"/>
  <c r="H13" i="1" s="1"/>
  <c r="I13" i="1" l="1"/>
  <c r="J13" i="1" s="1"/>
  <c r="E13" i="1"/>
  <c r="C14" i="1" l="1"/>
  <c r="D14" i="1" l="1"/>
  <c r="G14" i="1"/>
  <c r="H14" i="1" s="1"/>
  <c r="I14" i="1" l="1"/>
  <c r="J14" i="1" s="1"/>
  <c r="E14" i="1"/>
  <c r="C15" i="1" l="1"/>
  <c r="D15" i="1" l="1"/>
  <c r="G15" i="1"/>
  <c r="H15" i="1" s="1"/>
  <c r="I15" i="1" l="1"/>
  <c r="J15" i="1" s="1"/>
  <c r="E15" i="1"/>
  <c r="C16" i="1" l="1"/>
  <c r="D16" i="1" l="1"/>
  <c r="G16" i="1"/>
  <c r="H16" i="1" s="1"/>
  <c r="I16" i="1" l="1"/>
  <c r="J16" i="1" s="1"/>
  <c r="E16" i="1"/>
  <c r="C17" i="1" l="1"/>
  <c r="D17" i="1" l="1"/>
  <c r="G17" i="1"/>
  <c r="H17" i="1" s="1"/>
  <c r="I17" i="1" l="1"/>
  <c r="J17" i="1" s="1"/>
  <c r="E17" i="1"/>
  <c r="C18" i="1" l="1"/>
  <c r="G18" i="1" l="1"/>
  <c r="H18" i="1" s="1"/>
  <c r="D18" i="1"/>
  <c r="I18" i="1" l="1"/>
  <c r="J18" i="1" s="1"/>
  <c r="E18" i="1"/>
  <c r="C19" i="1" l="1"/>
  <c r="G19" i="1" l="1"/>
  <c r="H19" i="1" s="1"/>
  <c r="D19" i="1"/>
  <c r="I19" i="1" l="1"/>
  <c r="J19" i="1" s="1"/>
  <c r="E19" i="1"/>
  <c r="C20" i="1" l="1"/>
  <c r="D20" i="1" l="1"/>
  <c r="G20" i="1"/>
  <c r="H20" i="1" s="1"/>
  <c r="I20" i="1" l="1"/>
  <c r="J20" i="1" s="1"/>
  <c r="E20" i="1"/>
  <c r="C21" i="1" l="1"/>
  <c r="D21" i="1" l="1"/>
  <c r="G21" i="1"/>
  <c r="H21" i="1" s="1"/>
  <c r="I21" i="1" l="1"/>
  <c r="J21" i="1" s="1"/>
  <c r="E21" i="1"/>
  <c r="C22" i="1" l="1"/>
  <c r="D22" i="1" l="1"/>
  <c r="G22" i="1"/>
  <c r="H22" i="1" s="1"/>
  <c r="I22" i="1" l="1"/>
  <c r="J22" i="1" s="1"/>
  <c r="E22" i="1"/>
  <c r="C23" i="1" l="1"/>
  <c r="G23" i="1" l="1"/>
  <c r="H23" i="1" s="1"/>
  <c r="D23" i="1"/>
  <c r="I23" i="1" l="1"/>
  <c r="J23" i="1" s="1"/>
  <c r="E23" i="1"/>
  <c r="C24" i="1" l="1"/>
  <c r="D24" i="1" l="1"/>
  <c r="G24" i="1"/>
  <c r="H24" i="1" s="1"/>
  <c r="I24" i="1" l="1"/>
  <c r="J24" i="1" s="1"/>
  <c r="E24" i="1"/>
  <c r="C25" i="1" l="1"/>
  <c r="D25" i="1" l="1"/>
  <c r="G25" i="1"/>
  <c r="H25" i="1" s="1"/>
  <c r="I25" i="1" l="1"/>
  <c r="J25" i="1" s="1"/>
  <c r="E25" i="1"/>
  <c r="C26" i="1" l="1"/>
  <c r="D26" i="1" l="1"/>
  <c r="G26" i="1"/>
  <c r="H26" i="1" s="1"/>
  <c r="I26" i="1" l="1"/>
  <c r="J26" i="1" s="1"/>
  <c r="E26" i="1"/>
  <c r="C27" i="1" l="1"/>
  <c r="D27" i="1" l="1"/>
  <c r="G27" i="1"/>
  <c r="H27" i="1" s="1"/>
  <c r="I27" i="1" l="1"/>
  <c r="J27" i="1" s="1"/>
  <c r="E27" i="1"/>
  <c r="C28" i="1" l="1"/>
  <c r="D28" i="1" l="1"/>
  <c r="G28" i="1"/>
  <c r="H28" i="1" s="1"/>
  <c r="I28" i="1" l="1"/>
  <c r="J28" i="1" s="1"/>
  <c r="E28" i="1"/>
  <c r="C29" i="1" l="1"/>
  <c r="D29" i="1" l="1"/>
  <c r="G29" i="1"/>
  <c r="H29" i="1" s="1"/>
  <c r="I29" i="1" l="1"/>
  <c r="J29" i="1" s="1"/>
  <c r="E29" i="1"/>
  <c r="C30" i="1" l="1"/>
  <c r="D30" i="1" l="1"/>
  <c r="G30" i="1"/>
  <c r="H30" i="1" s="1"/>
  <c r="I30" i="1" l="1"/>
  <c r="J30" i="1" s="1"/>
  <c r="E30" i="1"/>
  <c r="C31" i="1" l="1"/>
  <c r="D31" i="1" l="1"/>
  <c r="G31" i="1"/>
  <c r="H31" i="1" s="1"/>
  <c r="I31" i="1" l="1"/>
  <c r="J31" i="1" s="1"/>
  <c r="E31" i="1"/>
  <c r="C32" i="1" l="1"/>
  <c r="D32" i="1" l="1"/>
  <c r="G32" i="1"/>
  <c r="H32" i="1" s="1"/>
  <c r="I32" i="1" l="1"/>
  <c r="J32" i="1" s="1"/>
  <c r="E32" i="1"/>
  <c r="C33" i="1" l="1"/>
  <c r="D33" i="1" l="1"/>
  <c r="G33" i="1"/>
  <c r="H33" i="1" s="1"/>
  <c r="I33" i="1" l="1"/>
  <c r="J33" i="1" s="1"/>
  <c r="E33" i="1"/>
  <c r="C34" i="1" l="1"/>
  <c r="G34" i="1" l="1"/>
  <c r="H34" i="1" s="1"/>
  <c r="D34" i="1"/>
  <c r="I34" i="1" l="1"/>
  <c r="J34" i="1" s="1"/>
  <c r="E34" i="1"/>
  <c r="C35" i="1" l="1"/>
  <c r="D35" i="1" l="1"/>
  <c r="G35" i="1"/>
  <c r="H35" i="1" s="1"/>
  <c r="I35" i="1" l="1"/>
  <c r="J35" i="1" s="1"/>
  <c r="E35" i="1"/>
  <c r="C36" i="1" l="1"/>
  <c r="D36" i="1" l="1"/>
  <c r="G36" i="1"/>
  <c r="H36" i="1" s="1"/>
  <c r="I36" i="1" l="1"/>
  <c r="J36" i="1" s="1"/>
  <c r="E36" i="1"/>
  <c r="C37" i="1" l="1"/>
  <c r="D37" i="1" l="1"/>
  <c r="G37" i="1"/>
  <c r="H37" i="1" s="1"/>
  <c r="I37" i="1" l="1"/>
  <c r="J37" i="1" s="1"/>
  <c r="E37" i="1"/>
  <c r="C38" i="1" l="1"/>
  <c r="D38" i="1" l="1"/>
  <c r="G38" i="1"/>
  <c r="H38" i="1" s="1"/>
  <c r="I38" i="1" l="1"/>
  <c r="J38" i="1" s="1"/>
  <c r="E38" i="1"/>
  <c r="C39" i="1" l="1"/>
  <c r="D39" i="1" l="1"/>
  <c r="G39" i="1"/>
  <c r="H39" i="1" s="1"/>
  <c r="I39" i="1" l="1"/>
  <c r="J39" i="1" s="1"/>
  <c r="E39" i="1"/>
  <c r="C40" i="1" l="1"/>
  <c r="D40" i="1" l="1"/>
  <c r="G40" i="1"/>
  <c r="H40" i="1" s="1"/>
  <c r="I40" i="1" l="1"/>
  <c r="J40" i="1" s="1"/>
  <c r="E40" i="1"/>
  <c r="C41" i="1" l="1"/>
  <c r="D41" i="1" l="1"/>
  <c r="G41" i="1"/>
  <c r="H41" i="1" s="1"/>
  <c r="I41" i="1" l="1"/>
  <c r="J41" i="1" s="1"/>
  <c r="E41" i="1"/>
  <c r="C42" i="1" l="1"/>
  <c r="D42" i="1" l="1"/>
  <c r="G42" i="1"/>
  <c r="H42" i="1" s="1"/>
  <c r="I42" i="1" l="1"/>
  <c r="J42" i="1" s="1"/>
  <c r="E42" i="1"/>
  <c r="C43" i="1" l="1"/>
  <c r="D43" i="1" l="1"/>
  <c r="G43" i="1"/>
  <c r="H43" i="1" s="1"/>
  <c r="I43" i="1" l="1"/>
  <c r="J43" i="1" s="1"/>
  <c r="E43" i="1"/>
  <c r="C44" i="1" l="1"/>
  <c r="D44" i="1" l="1"/>
  <c r="G44" i="1"/>
  <c r="H44" i="1" s="1"/>
  <c r="I44" i="1" l="1"/>
  <c r="J44" i="1" s="1"/>
  <c r="E44" i="1"/>
  <c r="C45" i="1" l="1"/>
  <c r="D45" i="1" l="1"/>
  <c r="G45" i="1"/>
  <c r="H45" i="1" s="1"/>
  <c r="I45" i="1" l="1"/>
  <c r="J45" i="1" s="1"/>
  <c r="E45" i="1"/>
  <c r="C46" i="1" l="1"/>
  <c r="D46" i="1" l="1"/>
  <c r="G46" i="1"/>
  <c r="H46" i="1" s="1"/>
  <c r="I46" i="1" l="1"/>
  <c r="J46" i="1" s="1"/>
  <c r="E46" i="1"/>
  <c r="C47" i="1" l="1"/>
  <c r="D47" i="1" l="1"/>
  <c r="G47" i="1"/>
  <c r="H47" i="1" s="1"/>
  <c r="I47" i="1" l="1"/>
  <c r="J47" i="1" s="1"/>
  <c r="E47" i="1"/>
  <c r="C48" i="1" l="1"/>
  <c r="D48" i="1" l="1"/>
  <c r="G48" i="1"/>
  <c r="H48" i="1" s="1"/>
  <c r="I48" i="1" l="1"/>
  <c r="J48" i="1" s="1"/>
  <c r="E48" i="1"/>
  <c r="C49" i="1" l="1"/>
  <c r="D49" i="1" l="1"/>
  <c r="G49" i="1"/>
  <c r="H49" i="1" s="1"/>
  <c r="I49" i="1" l="1"/>
  <c r="J49" i="1" s="1"/>
  <c r="E49" i="1"/>
  <c r="C50" i="1" l="1"/>
  <c r="G50" i="1" l="1"/>
  <c r="H50" i="1" s="1"/>
  <c r="D50" i="1"/>
  <c r="I50" i="1" l="1"/>
  <c r="J50" i="1" s="1"/>
  <c r="E50" i="1"/>
  <c r="C51" i="1" l="1"/>
  <c r="D51" i="1" l="1"/>
  <c r="G51" i="1"/>
  <c r="H51" i="1" s="1"/>
  <c r="I51" i="1" l="1"/>
  <c r="J51" i="1" s="1"/>
  <c r="E51" i="1"/>
  <c r="C52" i="1" l="1"/>
  <c r="D52" i="1" l="1"/>
  <c r="G52" i="1"/>
  <c r="H52" i="1" s="1"/>
  <c r="I52" i="1" l="1"/>
  <c r="J52" i="1" s="1"/>
  <c r="E52" i="1"/>
  <c r="C53" i="1" l="1"/>
  <c r="D53" i="1" l="1"/>
  <c r="G53" i="1"/>
  <c r="H53" i="1" s="1"/>
  <c r="I53" i="1" l="1"/>
  <c r="J53" i="1" s="1"/>
  <c r="E53" i="1"/>
  <c r="C54" i="1" l="1"/>
  <c r="D54" i="1" l="1"/>
  <c r="G54" i="1"/>
  <c r="H54" i="1" s="1"/>
  <c r="I54" i="1" l="1"/>
  <c r="J54" i="1" s="1"/>
  <c r="E54" i="1"/>
  <c r="C55" i="1" l="1"/>
  <c r="D55" i="1" l="1"/>
  <c r="G55" i="1"/>
  <c r="H55" i="1" s="1"/>
  <c r="I55" i="1" l="1"/>
  <c r="J55" i="1" s="1"/>
  <c r="E55" i="1"/>
  <c r="C56" i="1" l="1"/>
  <c r="D56" i="1" l="1"/>
  <c r="G56" i="1"/>
  <c r="H56" i="1" s="1"/>
  <c r="I56" i="1" l="1"/>
  <c r="J56" i="1" s="1"/>
  <c r="E56" i="1"/>
  <c r="C57" i="1" l="1"/>
  <c r="D57" i="1" l="1"/>
  <c r="G57" i="1"/>
  <c r="H57" i="1" s="1"/>
  <c r="I57" i="1" l="1"/>
  <c r="J57" i="1" s="1"/>
  <c r="E57" i="1"/>
  <c r="C58" i="1" l="1"/>
  <c r="D58" i="1" l="1"/>
  <c r="G58" i="1"/>
  <c r="H58" i="1" s="1"/>
  <c r="I58" i="1" l="1"/>
  <c r="J58" i="1" s="1"/>
  <c r="E58" i="1"/>
  <c r="C59" i="1" l="1"/>
  <c r="D59" i="1" l="1"/>
  <c r="G59" i="1"/>
  <c r="H59" i="1" s="1"/>
  <c r="I59" i="1" l="1"/>
  <c r="J59" i="1" s="1"/>
  <c r="E59" i="1"/>
  <c r="C60" i="1" l="1"/>
  <c r="D60" i="1" l="1"/>
  <c r="G60" i="1"/>
  <c r="H60" i="1" s="1"/>
  <c r="I60" i="1" l="1"/>
  <c r="J60" i="1" s="1"/>
  <c r="E60" i="1"/>
  <c r="C61" i="1" l="1"/>
  <c r="D61" i="1" l="1"/>
  <c r="G61" i="1"/>
  <c r="H61" i="1" s="1"/>
  <c r="I61" i="1" l="1"/>
  <c r="J61" i="1" s="1"/>
  <c r="E61" i="1"/>
  <c r="C62" i="1" l="1"/>
  <c r="D62" i="1" l="1"/>
  <c r="G62" i="1"/>
  <c r="H62" i="1" s="1"/>
  <c r="I62" i="1" l="1"/>
  <c r="J62" i="1" s="1"/>
  <c r="E62" i="1"/>
  <c r="C63" i="1" l="1"/>
  <c r="D63" i="1" l="1"/>
  <c r="G63" i="1"/>
  <c r="H63" i="1" s="1"/>
  <c r="I63" i="1" l="1"/>
  <c r="J63" i="1" s="1"/>
  <c r="E63" i="1"/>
  <c r="C64" i="1" l="1"/>
  <c r="D64" i="1" l="1"/>
  <c r="G64" i="1"/>
  <c r="H64" i="1" s="1"/>
  <c r="I64" i="1" l="1"/>
  <c r="J64" i="1" s="1"/>
  <c r="E64" i="1"/>
  <c r="C65" i="1" l="1"/>
  <c r="D65" i="1" l="1"/>
  <c r="G65" i="1"/>
  <c r="H65" i="1" s="1"/>
  <c r="I65" i="1" l="1"/>
  <c r="J65" i="1" s="1"/>
  <c r="E65" i="1"/>
  <c r="C66" i="1" l="1"/>
  <c r="G66" i="1" l="1"/>
  <c r="H66" i="1" s="1"/>
  <c r="D66" i="1"/>
  <c r="I66" i="1" l="1"/>
  <c r="J66" i="1" s="1"/>
  <c r="E66" i="1"/>
  <c r="C67" i="1" l="1"/>
  <c r="D67" i="1" l="1"/>
  <c r="G67" i="1"/>
  <c r="H67" i="1" s="1"/>
  <c r="I67" i="1" l="1"/>
  <c r="J67" i="1" s="1"/>
  <c r="E67" i="1"/>
  <c r="C68" i="1" l="1"/>
  <c r="D68" i="1" l="1"/>
  <c r="G68" i="1"/>
  <c r="H68" i="1" s="1"/>
  <c r="I68" i="1" l="1"/>
  <c r="J68" i="1" s="1"/>
  <c r="E68" i="1"/>
  <c r="C69" i="1" l="1"/>
  <c r="D69" i="1" l="1"/>
  <c r="G69" i="1"/>
  <c r="H69" i="1" s="1"/>
  <c r="I69" i="1" l="1"/>
  <c r="J69" i="1" s="1"/>
  <c r="E69" i="1"/>
  <c r="C70" i="1" l="1"/>
  <c r="G70" i="1" l="1"/>
  <c r="H70" i="1" s="1"/>
  <c r="D70" i="1"/>
  <c r="I70" i="1" l="1"/>
  <c r="J70" i="1" s="1"/>
  <c r="E70" i="1"/>
  <c r="C71" i="1" l="1"/>
  <c r="D71" i="1" l="1"/>
  <c r="G71" i="1"/>
  <c r="H71" i="1" s="1"/>
  <c r="I71" i="1" l="1"/>
  <c r="J71" i="1" s="1"/>
  <c r="E71" i="1"/>
  <c r="C72" i="1" l="1"/>
  <c r="D72" i="1" l="1"/>
  <c r="G72" i="1"/>
  <c r="H72" i="1" s="1"/>
  <c r="I72" i="1" l="1"/>
  <c r="J72" i="1" s="1"/>
  <c r="E72" i="1"/>
  <c r="C73" i="1" l="1"/>
  <c r="D73" i="1" l="1"/>
  <c r="G73" i="1"/>
  <c r="H73" i="1" s="1"/>
  <c r="I73" i="1" l="1"/>
  <c r="J73" i="1" s="1"/>
  <c r="E73" i="1"/>
  <c r="C74" i="1" l="1"/>
  <c r="D74" i="1" l="1"/>
  <c r="G74" i="1"/>
  <c r="H74" i="1" s="1"/>
  <c r="I74" i="1" l="1"/>
  <c r="J74" i="1" s="1"/>
  <c r="E74" i="1"/>
  <c r="C75" i="1" l="1"/>
  <c r="D75" i="1" l="1"/>
  <c r="G75" i="1"/>
  <c r="H75" i="1" s="1"/>
  <c r="I75" i="1" l="1"/>
  <c r="J75" i="1" s="1"/>
  <c r="E75" i="1"/>
  <c r="C76" i="1" l="1"/>
  <c r="D76" i="1" l="1"/>
  <c r="G76" i="1"/>
  <c r="H76" i="1" s="1"/>
  <c r="I76" i="1" l="1"/>
  <c r="J76" i="1" s="1"/>
  <c r="E76" i="1"/>
  <c r="C77" i="1" l="1"/>
  <c r="D77" i="1" l="1"/>
  <c r="G77" i="1"/>
  <c r="H77" i="1" s="1"/>
  <c r="I77" i="1" l="1"/>
  <c r="J77" i="1" s="1"/>
  <c r="E77" i="1"/>
  <c r="C78" i="1" l="1"/>
  <c r="D78" i="1" l="1"/>
  <c r="G78" i="1"/>
  <c r="H78" i="1" s="1"/>
  <c r="I78" i="1" l="1"/>
  <c r="J78" i="1" s="1"/>
  <c r="E78" i="1"/>
  <c r="C79" i="1" l="1"/>
  <c r="D79" i="1" l="1"/>
  <c r="G79" i="1"/>
  <c r="H79" i="1" s="1"/>
  <c r="I79" i="1" l="1"/>
  <c r="J79" i="1" s="1"/>
  <c r="E79" i="1"/>
  <c r="C80" i="1" l="1"/>
  <c r="D80" i="1" l="1"/>
  <c r="G80" i="1"/>
  <c r="H80" i="1" s="1"/>
  <c r="I80" i="1" l="1"/>
  <c r="J80" i="1" s="1"/>
  <c r="E80" i="1"/>
  <c r="C81" i="1" l="1"/>
  <c r="D81" i="1" l="1"/>
  <c r="G81" i="1"/>
  <c r="H81" i="1" s="1"/>
  <c r="I81" i="1" l="1"/>
  <c r="J81" i="1" s="1"/>
  <c r="E81" i="1"/>
  <c r="C82" i="1" l="1"/>
  <c r="G82" i="1" l="1"/>
  <c r="H82" i="1" s="1"/>
  <c r="D82" i="1"/>
  <c r="I82" i="1" l="1"/>
  <c r="J82" i="1" s="1"/>
  <c r="E82" i="1"/>
  <c r="C83" i="1" l="1"/>
  <c r="D83" i="1" l="1"/>
  <c r="G83" i="1"/>
  <c r="H83" i="1" s="1"/>
  <c r="I83" i="1" l="1"/>
  <c r="J83" i="1" s="1"/>
  <c r="E83" i="1"/>
  <c r="C84" i="1" l="1"/>
  <c r="D84" i="1" l="1"/>
  <c r="G84" i="1"/>
  <c r="H84" i="1" s="1"/>
  <c r="I84" i="1" l="1"/>
  <c r="J84" i="1" s="1"/>
  <c r="E84" i="1"/>
  <c r="C85" i="1" l="1"/>
  <c r="D85" i="1" l="1"/>
  <c r="G85" i="1"/>
  <c r="H85" i="1" s="1"/>
  <c r="I85" i="1" l="1"/>
  <c r="J85" i="1" s="1"/>
  <c r="E85" i="1"/>
  <c r="C86" i="1" l="1"/>
  <c r="D86" i="1" l="1"/>
  <c r="G86" i="1"/>
  <c r="H86" i="1" s="1"/>
  <c r="I86" i="1" l="1"/>
  <c r="J86" i="1" s="1"/>
  <c r="E86" i="1"/>
  <c r="C87" i="1" l="1"/>
  <c r="D87" i="1" l="1"/>
  <c r="G87" i="1"/>
  <c r="H87" i="1" s="1"/>
  <c r="I87" i="1" l="1"/>
  <c r="J87" i="1" s="1"/>
  <c r="E87" i="1"/>
  <c r="C88" i="1" l="1"/>
  <c r="D88" i="1" l="1"/>
  <c r="G88" i="1"/>
  <c r="H88" i="1" s="1"/>
  <c r="I88" i="1" l="1"/>
  <c r="J88" i="1" s="1"/>
  <c r="E88" i="1"/>
  <c r="C89" i="1" l="1"/>
  <c r="D89" i="1" l="1"/>
  <c r="G89" i="1"/>
  <c r="H89" i="1" s="1"/>
  <c r="I89" i="1" l="1"/>
  <c r="J89" i="1" s="1"/>
  <c r="E89" i="1"/>
  <c r="C90" i="1" l="1"/>
  <c r="G90" i="1" l="1"/>
  <c r="H90" i="1" s="1"/>
  <c r="D90" i="1"/>
  <c r="I90" i="1" l="1"/>
  <c r="J90" i="1" s="1"/>
  <c r="E90" i="1"/>
  <c r="C91" i="1" l="1"/>
  <c r="D91" i="1" l="1"/>
  <c r="G91" i="1"/>
  <c r="H91" i="1" s="1"/>
  <c r="I91" i="1" l="1"/>
  <c r="J91" i="1" s="1"/>
  <c r="E91" i="1"/>
  <c r="C92" i="1" l="1"/>
  <c r="D92" i="1" l="1"/>
  <c r="G92" i="1"/>
  <c r="H92" i="1" s="1"/>
  <c r="I92" i="1" l="1"/>
  <c r="J92" i="1" s="1"/>
  <c r="E92" i="1"/>
  <c r="C93" i="1" l="1"/>
  <c r="D93" i="1" l="1"/>
  <c r="G93" i="1"/>
  <c r="H93" i="1" s="1"/>
  <c r="I93" i="1" l="1"/>
  <c r="J93" i="1" s="1"/>
  <c r="E93" i="1"/>
  <c r="C94" i="1" l="1"/>
  <c r="G94" i="1" l="1"/>
  <c r="H94" i="1" s="1"/>
  <c r="D94" i="1"/>
  <c r="I94" i="1" l="1"/>
  <c r="J94" i="1" s="1"/>
  <c r="E94" i="1"/>
  <c r="C95" i="1" l="1"/>
  <c r="D95" i="1" l="1"/>
  <c r="G95" i="1"/>
  <c r="H95" i="1" s="1"/>
  <c r="I95" i="1" l="1"/>
  <c r="J95" i="1" s="1"/>
  <c r="E95" i="1"/>
  <c r="C96" i="1" l="1"/>
  <c r="D96" i="1" l="1"/>
  <c r="G96" i="1"/>
  <c r="H96" i="1" s="1"/>
  <c r="I96" i="1" l="1"/>
  <c r="J96" i="1" s="1"/>
  <c r="E96" i="1"/>
  <c r="C97" i="1" l="1"/>
  <c r="D97" i="1" l="1"/>
  <c r="G97" i="1"/>
  <c r="H97" i="1" s="1"/>
  <c r="I97" i="1" l="1"/>
  <c r="J97" i="1" s="1"/>
  <c r="E97" i="1"/>
  <c r="C98" i="1" l="1"/>
  <c r="D98" i="1" l="1"/>
  <c r="G98" i="1"/>
  <c r="H98" i="1" s="1"/>
  <c r="I98" i="1" l="1"/>
  <c r="J98" i="1" s="1"/>
  <c r="E98" i="1"/>
  <c r="C99" i="1" l="1"/>
  <c r="D99" i="1" l="1"/>
  <c r="G99" i="1"/>
  <c r="H99" i="1" s="1"/>
  <c r="I99" i="1" l="1"/>
  <c r="J99" i="1" s="1"/>
  <c r="E99" i="1"/>
  <c r="C100" i="1" l="1"/>
  <c r="D100" i="1" l="1"/>
  <c r="G100" i="1"/>
  <c r="H100" i="1" s="1"/>
  <c r="I100" i="1" l="1"/>
  <c r="J100" i="1" s="1"/>
  <c r="E100" i="1"/>
  <c r="C101" i="1" l="1"/>
  <c r="D101" i="1" l="1"/>
  <c r="G101" i="1"/>
  <c r="H101" i="1" s="1"/>
  <c r="I101" i="1" l="1"/>
  <c r="J101" i="1" s="1"/>
  <c r="E101" i="1"/>
  <c r="C102" i="1" l="1"/>
  <c r="D102" i="1" l="1"/>
  <c r="G102" i="1"/>
  <c r="H102" i="1" s="1"/>
  <c r="I102" i="1" l="1"/>
  <c r="J102" i="1" s="1"/>
  <c r="E102" i="1"/>
  <c r="C103" i="1" l="1"/>
  <c r="G103" i="1" l="1"/>
  <c r="H103" i="1" s="1"/>
  <c r="D103" i="1"/>
  <c r="I103" i="1" l="1"/>
  <c r="J103" i="1" s="1"/>
  <c r="E103" i="1"/>
  <c r="C104" i="1" l="1"/>
  <c r="D104" i="1" l="1"/>
  <c r="G104" i="1"/>
  <c r="H104" i="1" s="1"/>
  <c r="I104" i="1" l="1"/>
  <c r="J104" i="1" s="1"/>
  <c r="E104" i="1"/>
  <c r="C105" i="1" l="1"/>
  <c r="D105" i="1" l="1"/>
  <c r="G105" i="1"/>
  <c r="H105" i="1" s="1"/>
  <c r="I105" i="1" l="1"/>
  <c r="J105" i="1" s="1"/>
  <c r="E105" i="1"/>
  <c r="C106" i="1" l="1"/>
  <c r="D106" i="1" l="1"/>
  <c r="G106" i="1"/>
  <c r="H106" i="1" s="1"/>
  <c r="I106" i="1" l="1"/>
  <c r="J106" i="1" s="1"/>
  <c r="E106" i="1"/>
  <c r="C107" i="1" l="1"/>
  <c r="D107" i="1" l="1"/>
  <c r="G107" i="1"/>
  <c r="H107" i="1" s="1"/>
  <c r="I107" i="1" l="1"/>
  <c r="J107" i="1" s="1"/>
  <c r="E107" i="1"/>
  <c r="C108" i="1" l="1"/>
  <c r="D108" i="1" l="1"/>
  <c r="G108" i="1"/>
  <c r="H108" i="1" s="1"/>
  <c r="I108" i="1" l="1"/>
  <c r="J108" i="1" s="1"/>
  <c r="E108" i="1"/>
  <c r="C109" i="1" l="1"/>
  <c r="D109" i="1" l="1"/>
  <c r="G109" i="1"/>
  <c r="H109" i="1" s="1"/>
  <c r="I109" i="1" l="1"/>
  <c r="J109" i="1" s="1"/>
  <c r="E109" i="1"/>
  <c r="C110" i="1" l="1"/>
  <c r="D110" i="1" l="1"/>
  <c r="G110" i="1"/>
  <c r="H110" i="1" s="1"/>
  <c r="I110" i="1" l="1"/>
  <c r="J110" i="1" s="1"/>
  <c r="E110" i="1"/>
  <c r="C111" i="1" l="1"/>
  <c r="D111" i="1" l="1"/>
  <c r="G111" i="1"/>
  <c r="H111" i="1" s="1"/>
  <c r="I111" i="1" l="1"/>
  <c r="J111" i="1" s="1"/>
  <c r="E111" i="1"/>
  <c r="C112" i="1" l="1"/>
  <c r="D112" i="1" l="1"/>
  <c r="G112" i="1"/>
  <c r="H112" i="1" s="1"/>
  <c r="I112" i="1" l="1"/>
  <c r="J112" i="1" s="1"/>
  <c r="E112" i="1"/>
  <c r="C113" i="1" l="1"/>
  <c r="D113" i="1" l="1"/>
  <c r="G113" i="1"/>
  <c r="H113" i="1" s="1"/>
  <c r="I113" i="1" l="1"/>
  <c r="J113" i="1" s="1"/>
  <c r="E113" i="1"/>
  <c r="C114" i="1" l="1"/>
  <c r="G114" i="1" l="1"/>
  <c r="H114" i="1" s="1"/>
  <c r="D114" i="1"/>
  <c r="I114" i="1" l="1"/>
  <c r="J114" i="1" s="1"/>
  <c r="E114" i="1"/>
  <c r="C115" i="1" l="1"/>
  <c r="D115" i="1" l="1"/>
  <c r="G115" i="1"/>
  <c r="H115" i="1" s="1"/>
  <c r="I115" i="1" l="1"/>
  <c r="J115" i="1" s="1"/>
  <c r="E115" i="1"/>
  <c r="C116" i="1" l="1"/>
  <c r="D116" i="1" l="1"/>
  <c r="G116" i="1"/>
  <c r="H116" i="1" s="1"/>
  <c r="I116" i="1" l="1"/>
  <c r="J116" i="1" s="1"/>
  <c r="E116" i="1"/>
  <c r="C117" i="1" l="1"/>
  <c r="D117" i="1" l="1"/>
  <c r="G117" i="1"/>
  <c r="H117" i="1" s="1"/>
  <c r="I117" i="1" l="1"/>
  <c r="J117" i="1" s="1"/>
  <c r="E117" i="1"/>
  <c r="C118" i="1" l="1"/>
  <c r="D118" i="1" l="1"/>
  <c r="G118" i="1"/>
  <c r="H118" i="1" s="1"/>
  <c r="I118" i="1" l="1"/>
  <c r="J118" i="1" s="1"/>
  <c r="E118" i="1"/>
  <c r="C119" i="1" l="1"/>
  <c r="D119" i="1" l="1"/>
  <c r="G119" i="1"/>
  <c r="H119" i="1" s="1"/>
  <c r="I119" i="1" l="1"/>
  <c r="J119" i="1" s="1"/>
  <c r="E119" i="1"/>
  <c r="C120" i="1" l="1"/>
  <c r="D120" i="1" l="1"/>
  <c r="G120" i="1"/>
  <c r="H120" i="1" s="1"/>
  <c r="I120" i="1" l="1"/>
  <c r="J120" i="1" s="1"/>
  <c r="E120" i="1"/>
  <c r="C121" i="1" l="1"/>
  <c r="D121" i="1" l="1"/>
  <c r="G121" i="1"/>
  <c r="H121" i="1" s="1"/>
  <c r="I121" i="1" l="1"/>
  <c r="J121" i="1" s="1"/>
  <c r="E121" i="1"/>
  <c r="C122" i="1" l="1"/>
  <c r="G122" i="1" l="1"/>
  <c r="H122" i="1" s="1"/>
  <c r="D122" i="1"/>
  <c r="I122" i="1" l="1"/>
  <c r="J122" i="1" s="1"/>
  <c r="E122" i="1"/>
  <c r="C123" i="1" l="1"/>
  <c r="D123" i="1" l="1"/>
  <c r="G123" i="1"/>
  <c r="H123" i="1" s="1"/>
  <c r="I123" i="1" l="1"/>
  <c r="J123" i="1" s="1"/>
  <c r="E123" i="1"/>
  <c r="C124" i="1" l="1"/>
  <c r="D124" i="1" l="1"/>
  <c r="G124" i="1"/>
  <c r="H124" i="1" s="1"/>
  <c r="I124" i="1" l="1"/>
  <c r="J124" i="1" s="1"/>
  <c r="E124" i="1"/>
  <c r="C125" i="1" l="1"/>
  <c r="D125" i="1" l="1"/>
  <c r="G125" i="1"/>
  <c r="H125" i="1" s="1"/>
  <c r="I125" i="1" l="1"/>
  <c r="J125" i="1" s="1"/>
  <c r="E125" i="1"/>
  <c r="C126" i="1" l="1"/>
  <c r="D126" i="1" l="1"/>
  <c r="G126" i="1"/>
  <c r="H126" i="1" s="1"/>
  <c r="I126" i="1" l="1"/>
  <c r="J126" i="1" s="1"/>
  <c r="E126" i="1"/>
  <c r="C127" i="1" l="1"/>
  <c r="D127" i="1" l="1"/>
  <c r="G127" i="1"/>
  <c r="H127" i="1" s="1"/>
  <c r="I127" i="1" l="1"/>
  <c r="J127" i="1" s="1"/>
  <c r="E127" i="1"/>
  <c r="C128" i="1" l="1"/>
  <c r="D128" i="1" l="1"/>
  <c r="G128" i="1"/>
  <c r="H128" i="1" s="1"/>
  <c r="I128" i="1" l="1"/>
  <c r="J128" i="1" s="1"/>
  <c r="E128" i="1"/>
  <c r="C129" i="1" l="1"/>
  <c r="D129" i="1" l="1"/>
  <c r="G129" i="1"/>
  <c r="H129" i="1" s="1"/>
  <c r="I129" i="1" l="1"/>
  <c r="J129" i="1" s="1"/>
  <c r="E129" i="1"/>
  <c r="C130" i="1" l="1"/>
  <c r="D130" i="1" l="1"/>
  <c r="G130" i="1"/>
  <c r="H130" i="1" s="1"/>
  <c r="I130" i="1" l="1"/>
  <c r="J130" i="1" s="1"/>
  <c r="E130" i="1"/>
  <c r="C131" i="1" l="1"/>
  <c r="D131" i="1" l="1"/>
  <c r="G131" i="1"/>
  <c r="H131" i="1" s="1"/>
  <c r="I131" i="1" l="1"/>
  <c r="J131" i="1" s="1"/>
  <c r="E131" i="1"/>
  <c r="C132" i="1" l="1"/>
  <c r="D132" i="1" l="1"/>
  <c r="G132" i="1"/>
  <c r="H132" i="1" s="1"/>
  <c r="I132" i="1" l="1"/>
  <c r="J132" i="1" s="1"/>
  <c r="E132" i="1"/>
  <c r="C133" i="1" l="1"/>
  <c r="D133" i="1" l="1"/>
  <c r="G133" i="1"/>
  <c r="H133" i="1" s="1"/>
  <c r="I133" i="1" l="1"/>
  <c r="J133" i="1" s="1"/>
  <c r="E133" i="1"/>
  <c r="C134" i="1" l="1"/>
  <c r="D134" i="1" l="1"/>
  <c r="G134" i="1"/>
  <c r="H134" i="1" s="1"/>
  <c r="I134" i="1" l="1"/>
  <c r="J134" i="1" s="1"/>
  <c r="E134" i="1"/>
  <c r="C135" i="1" l="1"/>
  <c r="D135" i="1" l="1"/>
  <c r="G135" i="1"/>
  <c r="H135" i="1" s="1"/>
  <c r="I135" i="1" l="1"/>
  <c r="J135" i="1" s="1"/>
  <c r="E135" i="1"/>
  <c r="C136" i="1" l="1"/>
  <c r="G136" i="1" l="1"/>
  <c r="H136" i="1" s="1"/>
  <c r="D136" i="1"/>
  <c r="I136" i="1" l="1"/>
  <c r="J136" i="1" s="1"/>
  <c r="E136" i="1"/>
  <c r="C137" i="1" l="1"/>
  <c r="G137" i="1" l="1"/>
  <c r="H137" i="1" s="1"/>
  <c r="D137" i="1"/>
  <c r="I137" i="1" l="1"/>
  <c r="J137" i="1" s="1"/>
  <c r="E137" i="1"/>
  <c r="C138" i="1" l="1"/>
  <c r="D138" i="1" l="1"/>
  <c r="G138" i="1"/>
  <c r="H138" i="1" s="1"/>
  <c r="I138" i="1" l="1"/>
  <c r="J138" i="1" s="1"/>
  <c r="E138" i="1"/>
  <c r="C139" i="1" l="1"/>
  <c r="D139" i="1" l="1"/>
  <c r="G139" i="1"/>
  <c r="H139" i="1" s="1"/>
  <c r="I139" i="1" l="1"/>
  <c r="J139" i="1" s="1"/>
  <c r="E139" i="1"/>
  <c r="C140" i="1" l="1"/>
  <c r="D140" i="1" l="1"/>
  <c r="G140" i="1"/>
  <c r="H140" i="1" s="1"/>
  <c r="I140" i="1" l="1"/>
  <c r="J140" i="1" s="1"/>
  <c r="E140" i="1"/>
  <c r="C141" i="1" l="1"/>
  <c r="D141" i="1" l="1"/>
  <c r="G141" i="1"/>
  <c r="H141" i="1" s="1"/>
  <c r="I141" i="1" l="1"/>
  <c r="J141" i="1" s="1"/>
  <c r="E141" i="1"/>
  <c r="C142" i="1" l="1"/>
  <c r="D142" i="1" l="1"/>
  <c r="G142" i="1"/>
  <c r="H142" i="1" s="1"/>
  <c r="I142" i="1" l="1"/>
  <c r="J142" i="1" s="1"/>
  <c r="E142" i="1"/>
  <c r="C143" i="1" l="1"/>
  <c r="G143" i="1" l="1"/>
  <c r="H143" i="1" s="1"/>
  <c r="D143" i="1"/>
  <c r="I143" i="1" l="1"/>
  <c r="J143" i="1" s="1"/>
  <c r="E143" i="1"/>
  <c r="C144" i="1" l="1"/>
  <c r="D144" i="1" l="1"/>
  <c r="G144" i="1"/>
  <c r="H144" i="1" s="1"/>
  <c r="I144" i="1" l="1"/>
  <c r="J144" i="1" s="1"/>
  <c r="E144" i="1"/>
  <c r="C145" i="1" l="1"/>
  <c r="D145" i="1" l="1"/>
  <c r="G145" i="1"/>
  <c r="H145" i="1" s="1"/>
  <c r="I145" i="1" l="1"/>
  <c r="J145" i="1" s="1"/>
  <c r="E145" i="1"/>
  <c r="C146" i="1" l="1"/>
  <c r="D146" i="1" l="1"/>
  <c r="G146" i="1"/>
  <c r="H146" i="1" s="1"/>
  <c r="I146" i="1" l="1"/>
  <c r="J146" i="1" s="1"/>
  <c r="E146" i="1"/>
  <c r="C147" i="1" l="1"/>
  <c r="D147" i="1" l="1"/>
  <c r="G147" i="1"/>
  <c r="H147" i="1" s="1"/>
  <c r="I147" i="1" l="1"/>
  <c r="J147" i="1" s="1"/>
  <c r="E147" i="1"/>
  <c r="C148" i="1" l="1"/>
  <c r="G148" i="1" l="1"/>
  <c r="H148" i="1" s="1"/>
  <c r="D148" i="1"/>
  <c r="I148" i="1" l="1"/>
  <c r="J148" i="1" s="1"/>
  <c r="E148" i="1"/>
  <c r="C149" i="1" l="1"/>
  <c r="D149" i="1" l="1"/>
  <c r="G149" i="1"/>
  <c r="H149" i="1" s="1"/>
  <c r="I149" i="1" l="1"/>
  <c r="J149" i="1" s="1"/>
  <c r="E149" i="1"/>
  <c r="C150" i="1" l="1"/>
  <c r="D150" i="1" l="1"/>
  <c r="G150" i="1"/>
  <c r="H150" i="1" s="1"/>
  <c r="I150" i="1" l="1"/>
  <c r="J150" i="1" s="1"/>
  <c r="E150" i="1"/>
  <c r="C151" i="1" l="1"/>
  <c r="D151" i="1" l="1"/>
  <c r="G151" i="1"/>
  <c r="H151" i="1" s="1"/>
  <c r="I151" i="1" l="1"/>
  <c r="J151" i="1" s="1"/>
  <c r="E151" i="1"/>
  <c r="C152" i="1" l="1"/>
  <c r="D152" i="1" l="1"/>
  <c r="G152" i="1"/>
  <c r="H152" i="1" s="1"/>
  <c r="I152" i="1" l="1"/>
  <c r="J152" i="1" s="1"/>
  <c r="E152" i="1"/>
  <c r="C153" i="1" l="1"/>
  <c r="G153" i="1" l="1"/>
  <c r="H153" i="1" s="1"/>
  <c r="D153" i="1"/>
  <c r="I153" i="1" l="1"/>
  <c r="J153" i="1" s="1"/>
  <c r="E153" i="1"/>
  <c r="C154" i="1" l="1"/>
  <c r="D154" i="1" l="1"/>
  <c r="G154" i="1"/>
  <c r="H154" i="1" s="1"/>
  <c r="I154" i="1" l="1"/>
  <c r="J154" i="1" s="1"/>
  <c r="E154" i="1"/>
  <c r="C155" i="1" l="1"/>
  <c r="G155" i="1" l="1"/>
  <c r="H155" i="1" s="1"/>
  <c r="D155" i="1"/>
  <c r="I155" i="1" l="1"/>
  <c r="J155" i="1" s="1"/>
  <c r="E155" i="1"/>
  <c r="C156" i="1" l="1"/>
  <c r="D156" i="1" l="1"/>
  <c r="G156" i="1"/>
  <c r="H156" i="1" s="1"/>
  <c r="I156" i="1" l="1"/>
  <c r="J156" i="1" s="1"/>
  <c r="E156" i="1"/>
  <c r="C157" i="1" l="1"/>
  <c r="D157" i="1" l="1"/>
  <c r="G157" i="1"/>
  <c r="H157" i="1" s="1"/>
  <c r="I157" i="1" l="1"/>
  <c r="J157" i="1" s="1"/>
  <c r="E157" i="1"/>
  <c r="C158" i="1" l="1"/>
  <c r="D158" i="1" l="1"/>
  <c r="G158" i="1"/>
  <c r="H158" i="1" s="1"/>
  <c r="I158" i="1" l="1"/>
  <c r="J158" i="1" s="1"/>
  <c r="E158" i="1"/>
  <c r="C159" i="1" l="1"/>
  <c r="D159" i="1" l="1"/>
  <c r="G159" i="1"/>
  <c r="H159" i="1" s="1"/>
  <c r="I159" i="1" l="1"/>
  <c r="J159" i="1" s="1"/>
  <c r="E159" i="1"/>
  <c r="C160" i="1" l="1"/>
  <c r="G160" i="1" l="1"/>
  <c r="H160" i="1" s="1"/>
  <c r="D160" i="1"/>
  <c r="I160" i="1" l="1"/>
  <c r="J160" i="1" s="1"/>
  <c r="E160" i="1"/>
  <c r="C161" i="1" l="1"/>
  <c r="D161" i="1" l="1"/>
  <c r="G161" i="1"/>
  <c r="H161" i="1" s="1"/>
  <c r="I161" i="1" l="1"/>
  <c r="J161" i="1" s="1"/>
  <c r="E161" i="1"/>
  <c r="C162" i="1" l="1"/>
  <c r="D162" i="1" l="1"/>
  <c r="G162" i="1"/>
  <c r="H162" i="1" s="1"/>
  <c r="I162" i="1" l="1"/>
  <c r="J162" i="1" s="1"/>
  <c r="E162" i="1"/>
  <c r="C163" i="1" l="1"/>
  <c r="D163" i="1" l="1"/>
  <c r="G163" i="1"/>
  <c r="H163" i="1" s="1"/>
  <c r="I163" i="1" l="1"/>
  <c r="J163" i="1" s="1"/>
  <c r="E163" i="1"/>
  <c r="C164" i="1" l="1"/>
  <c r="D164" i="1" l="1"/>
  <c r="G164" i="1"/>
  <c r="H164" i="1" s="1"/>
  <c r="I164" i="1" l="1"/>
  <c r="J164" i="1" s="1"/>
  <c r="E164" i="1"/>
  <c r="C165" i="1" l="1"/>
  <c r="G165" i="1" l="1"/>
  <c r="H165" i="1" s="1"/>
  <c r="D165" i="1"/>
  <c r="I165" i="1" l="1"/>
  <c r="J165" i="1" s="1"/>
  <c r="E165" i="1"/>
  <c r="C166" i="1" l="1"/>
  <c r="D166" i="1" l="1"/>
  <c r="G166" i="1"/>
  <c r="H166" i="1" s="1"/>
  <c r="I166" i="1" l="1"/>
  <c r="J166" i="1" s="1"/>
  <c r="E166" i="1"/>
  <c r="C167" i="1" l="1"/>
  <c r="G167" i="1" l="1"/>
  <c r="H167" i="1" s="1"/>
  <c r="D167" i="1"/>
  <c r="I167" i="1" l="1"/>
  <c r="J167" i="1" s="1"/>
  <c r="E167" i="1"/>
  <c r="C168" i="1" l="1"/>
  <c r="D168" i="1" l="1"/>
  <c r="G168" i="1"/>
  <c r="H168" i="1" s="1"/>
  <c r="I168" i="1" l="1"/>
  <c r="J168" i="1" s="1"/>
  <c r="E168" i="1"/>
  <c r="C169" i="1" l="1"/>
  <c r="D169" i="1" l="1"/>
  <c r="G169" i="1"/>
  <c r="H169" i="1" s="1"/>
  <c r="I169" i="1" l="1"/>
  <c r="J169" i="1" s="1"/>
  <c r="E169" i="1"/>
  <c r="C170" i="1" l="1"/>
  <c r="D170" i="1" l="1"/>
  <c r="G170" i="1"/>
  <c r="H170" i="1" s="1"/>
  <c r="I170" i="1" l="1"/>
  <c r="J170" i="1" s="1"/>
  <c r="E170" i="1"/>
  <c r="C171" i="1" l="1"/>
  <c r="D171" i="1" l="1"/>
  <c r="G171" i="1"/>
  <c r="H171" i="1" s="1"/>
  <c r="I171" i="1" l="1"/>
  <c r="J171" i="1" s="1"/>
  <c r="E171" i="1"/>
  <c r="C172" i="1" l="1"/>
  <c r="D172" i="1" l="1"/>
  <c r="G172" i="1"/>
  <c r="H172" i="1" s="1"/>
  <c r="I172" i="1" l="1"/>
  <c r="J172" i="1" s="1"/>
  <c r="E172" i="1"/>
  <c r="C173" i="1" l="1"/>
  <c r="D173" i="1" l="1"/>
  <c r="G173" i="1"/>
  <c r="H173" i="1" s="1"/>
  <c r="I173" i="1" l="1"/>
  <c r="J173" i="1" s="1"/>
  <c r="E173" i="1"/>
  <c r="C174" i="1" l="1"/>
  <c r="D174" i="1" l="1"/>
  <c r="G174" i="1"/>
  <c r="H174" i="1" s="1"/>
  <c r="I174" i="1" l="1"/>
  <c r="J174" i="1" s="1"/>
  <c r="E174" i="1"/>
  <c r="C175" i="1" l="1"/>
  <c r="D175" i="1" l="1"/>
  <c r="G175" i="1"/>
  <c r="H175" i="1" s="1"/>
  <c r="I175" i="1" l="1"/>
  <c r="J175" i="1" s="1"/>
  <c r="E175" i="1"/>
  <c r="C176" i="1" l="1"/>
  <c r="D176" i="1" l="1"/>
  <c r="G176" i="1"/>
  <c r="H176" i="1" s="1"/>
  <c r="I176" i="1" l="1"/>
  <c r="J176" i="1" s="1"/>
  <c r="E176" i="1"/>
  <c r="C177" i="1" l="1"/>
  <c r="G177" i="1" l="1"/>
  <c r="H177" i="1" s="1"/>
  <c r="D177" i="1"/>
  <c r="I177" i="1" l="1"/>
  <c r="J177" i="1" s="1"/>
  <c r="E177" i="1"/>
  <c r="C178" i="1" l="1"/>
  <c r="D178" i="1" l="1"/>
  <c r="G178" i="1"/>
  <c r="H178" i="1" s="1"/>
  <c r="I178" i="1" l="1"/>
  <c r="J178" i="1" s="1"/>
  <c r="E178" i="1"/>
  <c r="C179" i="1" l="1"/>
  <c r="G179" i="1" l="1"/>
  <c r="H179" i="1" s="1"/>
  <c r="D179" i="1"/>
  <c r="I179" i="1" l="1"/>
  <c r="J179" i="1" s="1"/>
  <c r="E179" i="1"/>
  <c r="C180" i="1" l="1"/>
  <c r="D180" i="1" l="1"/>
  <c r="G180" i="1"/>
  <c r="H180" i="1" s="1"/>
  <c r="I180" i="1" l="1"/>
  <c r="J180" i="1" s="1"/>
  <c r="E180" i="1"/>
  <c r="C181" i="1" l="1"/>
  <c r="D181" i="1" l="1"/>
  <c r="G181" i="1"/>
  <c r="H181" i="1" s="1"/>
  <c r="I181" i="1" l="1"/>
  <c r="J181" i="1" s="1"/>
  <c r="E181" i="1"/>
  <c r="C182" i="1" l="1"/>
  <c r="D182" i="1" l="1"/>
  <c r="G182" i="1"/>
  <c r="H182" i="1" s="1"/>
  <c r="I182" i="1" l="1"/>
  <c r="J182" i="1" s="1"/>
  <c r="E182" i="1"/>
  <c r="C183" i="1" l="1"/>
  <c r="D183" i="1" l="1"/>
  <c r="G183" i="1"/>
  <c r="H183" i="1" s="1"/>
  <c r="I183" i="1" l="1"/>
  <c r="J183" i="1" s="1"/>
  <c r="E183" i="1"/>
  <c r="C184" i="1" l="1"/>
  <c r="G184" i="1" l="1"/>
  <c r="H184" i="1" s="1"/>
  <c r="D184" i="1"/>
  <c r="I184" i="1" l="1"/>
  <c r="J184" i="1" s="1"/>
  <c r="E184" i="1"/>
  <c r="C185" i="1" l="1"/>
  <c r="D185" i="1" l="1"/>
  <c r="G185" i="1"/>
  <c r="H185" i="1" s="1"/>
  <c r="I185" i="1" l="1"/>
  <c r="J185" i="1" s="1"/>
  <c r="E185" i="1"/>
  <c r="C186" i="1" l="1"/>
  <c r="D186" i="1" l="1"/>
  <c r="G186" i="1"/>
  <c r="H186" i="1" s="1"/>
  <c r="I186" i="1" l="1"/>
  <c r="J186" i="1" s="1"/>
  <c r="E186" i="1"/>
  <c r="C187" i="1" l="1"/>
  <c r="D187" i="1" l="1"/>
  <c r="G187" i="1"/>
  <c r="H187" i="1" s="1"/>
  <c r="I187" i="1" l="1"/>
  <c r="J187" i="1" s="1"/>
  <c r="E187" i="1"/>
  <c r="C188" i="1" l="1"/>
  <c r="D188" i="1" l="1"/>
  <c r="G188" i="1"/>
  <c r="H188" i="1" s="1"/>
  <c r="I188" i="1" l="1"/>
  <c r="J188" i="1" s="1"/>
  <c r="E188" i="1"/>
  <c r="C189" i="1" l="1"/>
  <c r="D189" i="1" l="1"/>
  <c r="G189" i="1"/>
  <c r="H189" i="1" s="1"/>
  <c r="I189" i="1" l="1"/>
  <c r="J189" i="1" s="1"/>
  <c r="E189" i="1"/>
  <c r="C190" i="1" l="1"/>
  <c r="D190" i="1" l="1"/>
  <c r="G190" i="1"/>
  <c r="H190" i="1" s="1"/>
  <c r="I190" i="1" l="1"/>
  <c r="J190" i="1" s="1"/>
  <c r="E190" i="1"/>
  <c r="C191" i="1" l="1"/>
  <c r="G191" i="1" l="1"/>
  <c r="H191" i="1" s="1"/>
  <c r="D191" i="1"/>
  <c r="I191" i="1" l="1"/>
  <c r="J191" i="1" s="1"/>
  <c r="E191" i="1"/>
  <c r="C192" i="1" l="1"/>
  <c r="D192" i="1" l="1"/>
  <c r="G192" i="1"/>
  <c r="H192" i="1" s="1"/>
  <c r="I192" i="1" l="1"/>
  <c r="J192" i="1" s="1"/>
  <c r="E192" i="1"/>
  <c r="C193" i="1" l="1"/>
  <c r="D193" i="1" l="1"/>
  <c r="G193" i="1"/>
  <c r="H193" i="1" s="1"/>
  <c r="I193" i="1" l="1"/>
  <c r="J193" i="1" s="1"/>
  <c r="E193" i="1"/>
  <c r="C194" i="1" l="1"/>
  <c r="G194" i="1" l="1"/>
  <c r="H194" i="1" s="1"/>
  <c r="D194" i="1"/>
  <c r="I194" i="1" l="1"/>
  <c r="J194" i="1" s="1"/>
  <c r="E194" i="1"/>
  <c r="C195" i="1" l="1"/>
  <c r="D195" i="1" l="1"/>
  <c r="G195" i="1"/>
  <c r="H195" i="1" s="1"/>
  <c r="I195" i="1" l="1"/>
  <c r="J195" i="1" s="1"/>
  <c r="E195" i="1"/>
  <c r="C196" i="1" l="1"/>
  <c r="D196" i="1" l="1"/>
  <c r="G196" i="1"/>
  <c r="H196" i="1" s="1"/>
  <c r="I196" i="1" l="1"/>
  <c r="J196" i="1" s="1"/>
  <c r="E196" i="1"/>
  <c r="C197" i="1" l="1"/>
  <c r="D197" i="1" l="1"/>
  <c r="G197" i="1"/>
  <c r="H197" i="1" s="1"/>
  <c r="I197" i="1" l="1"/>
  <c r="J197" i="1" s="1"/>
  <c r="E197" i="1"/>
  <c r="C198" i="1" l="1"/>
  <c r="D198" i="1" l="1"/>
  <c r="G198" i="1"/>
  <c r="H198" i="1" s="1"/>
  <c r="I198" i="1" l="1"/>
  <c r="J198" i="1" s="1"/>
  <c r="E198" i="1"/>
  <c r="C199" i="1" l="1"/>
  <c r="D199" i="1" l="1"/>
  <c r="G199" i="1"/>
  <c r="H199" i="1" s="1"/>
  <c r="I199" i="1" l="1"/>
  <c r="J199" i="1" s="1"/>
  <c r="E199" i="1"/>
  <c r="C200" i="1" l="1"/>
  <c r="D200" i="1" l="1"/>
  <c r="G200" i="1"/>
  <c r="H200" i="1" s="1"/>
  <c r="I200" i="1" l="1"/>
  <c r="J200" i="1" s="1"/>
  <c r="E200" i="1"/>
  <c r="C201" i="1" l="1"/>
  <c r="D201" i="1" l="1"/>
  <c r="G201" i="1"/>
  <c r="H201" i="1" s="1"/>
  <c r="I201" i="1" l="1"/>
  <c r="J201" i="1" s="1"/>
  <c r="E201" i="1"/>
  <c r="C202" i="1" l="1"/>
  <c r="G202" i="1" l="1"/>
  <c r="H202" i="1" s="1"/>
  <c r="D202" i="1"/>
  <c r="I202" i="1" l="1"/>
  <c r="J202" i="1" s="1"/>
  <c r="E202" i="1"/>
  <c r="C203" i="1" l="1"/>
  <c r="D203" i="1" l="1"/>
  <c r="G203" i="1"/>
  <c r="H203" i="1" s="1"/>
  <c r="I203" i="1" l="1"/>
  <c r="J203" i="1" s="1"/>
  <c r="E203" i="1"/>
  <c r="C204" i="1" l="1"/>
  <c r="D204" i="1" l="1"/>
  <c r="G204" i="1"/>
  <c r="H204" i="1" s="1"/>
  <c r="I204" i="1" l="1"/>
  <c r="J204" i="1" s="1"/>
  <c r="E204" i="1"/>
  <c r="C205" i="1" l="1"/>
  <c r="D205" i="1" l="1"/>
  <c r="G205" i="1"/>
  <c r="H205" i="1" s="1"/>
  <c r="I205" i="1" l="1"/>
  <c r="J205" i="1" s="1"/>
  <c r="E205" i="1"/>
  <c r="C206" i="1" l="1"/>
  <c r="D206" i="1" l="1"/>
  <c r="G206" i="1"/>
  <c r="H206" i="1" s="1"/>
  <c r="I206" i="1" l="1"/>
  <c r="J206" i="1" s="1"/>
  <c r="E206" i="1"/>
  <c r="C207" i="1" l="1"/>
  <c r="D207" i="1" l="1"/>
  <c r="G207" i="1"/>
  <c r="H207" i="1" s="1"/>
  <c r="I207" i="1" l="1"/>
  <c r="J207" i="1" s="1"/>
  <c r="E207" i="1"/>
  <c r="C208" i="1" l="1"/>
  <c r="G208" i="1" l="1"/>
  <c r="H208" i="1" s="1"/>
  <c r="D208" i="1"/>
  <c r="I208" i="1" l="1"/>
  <c r="J208" i="1" s="1"/>
  <c r="E208" i="1"/>
  <c r="C209" i="1" l="1"/>
  <c r="D209" i="1" l="1"/>
  <c r="G209" i="1"/>
  <c r="H209" i="1" s="1"/>
  <c r="I209" i="1" l="1"/>
  <c r="J209" i="1" s="1"/>
  <c r="E209" i="1"/>
  <c r="C210" i="1" l="1"/>
  <c r="D210" i="1" l="1"/>
  <c r="G210" i="1"/>
  <c r="H210" i="1" s="1"/>
  <c r="I210" i="1" l="1"/>
  <c r="J210" i="1" s="1"/>
  <c r="E210" i="1"/>
  <c r="C211" i="1" l="1"/>
  <c r="D211" i="1" l="1"/>
  <c r="G211" i="1"/>
  <c r="H211" i="1" s="1"/>
  <c r="I211" i="1" l="1"/>
  <c r="J211" i="1" s="1"/>
  <c r="E211" i="1"/>
  <c r="C212" i="1" l="1"/>
  <c r="G212" i="1" l="1"/>
  <c r="H212" i="1" s="1"/>
  <c r="D212" i="1"/>
  <c r="I212" i="1" l="1"/>
  <c r="J212" i="1" s="1"/>
  <c r="E212" i="1"/>
  <c r="C213" i="1" l="1"/>
  <c r="G213" i="1" l="1"/>
  <c r="H213" i="1" s="1"/>
  <c r="D213" i="1"/>
  <c r="I213" i="1" l="1"/>
  <c r="J213" i="1" s="1"/>
  <c r="E213" i="1"/>
  <c r="C214" i="1" l="1"/>
  <c r="D214" i="1" l="1"/>
  <c r="G214" i="1"/>
  <c r="H214" i="1" s="1"/>
  <c r="I214" i="1" l="1"/>
  <c r="J214" i="1" s="1"/>
  <c r="E214" i="1"/>
  <c r="C215" i="1" l="1"/>
  <c r="G215" i="1" l="1"/>
  <c r="H215" i="1" s="1"/>
  <c r="D215" i="1"/>
  <c r="I215" i="1" l="1"/>
  <c r="J215" i="1" s="1"/>
  <c r="E215" i="1"/>
  <c r="C216" i="1" l="1"/>
  <c r="D216" i="1" l="1"/>
  <c r="G216" i="1"/>
  <c r="H216" i="1" s="1"/>
  <c r="I216" i="1" l="1"/>
  <c r="J216" i="1" s="1"/>
  <c r="E216" i="1"/>
  <c r="C217" i="1" l="1"/>
  <c r="G217" i="1" l="1"/>
  <c r="H217" i="1" s="1"/>
  <c r="D217" i="1"/>
  <c r="I217" i="1" l="1"/>
  <c r="J217" i="1" s="1"/>
  <c r="E217" i="1"/>
  <c r="C218" i="1" l="1"/>
  <c r="D218" i="1" l="1"/>
  <c r="G218" i="1"/>
  <c r="H218" i="1" s="1"/>
  <c r="I218" i="1" l="1"/>
  <c r="J218" i="1" s="1"/>
  <c r="E218" i="1"/>
  <c r="C219" i="1" l="1"/>
  <c r="D219" i="1" l="1"/>
  <c r="G219" i="1"/>
  <c r="H219" i="1" s="1"/>
  <c r="I219" i="1" l="1"/>
  <c r="J219" i="1" s="1"/>
  <c r="E219" i="1"/>
  <c r="C220" i="1" l="1"/>
  <c r="D220" i="1" l="1"/>
  <c r="G220" i="1"/>
  <c r="H220" i="1" s="1"/>
  <c r="I220" i="1" l="1"/>
  <c r="J220" i="1" s="1"/>
  <c r="E220" i="1"/>
  <c r="C221" i="1" l="1"/>
  <c r="D221" i="1" l="1"/>
  <c r="G221" i="1"/>
  <c r="H221" i="1" s="1"/>
  <c r="I221" i="1" l="1"/>
  <c r="J221" i="1" s="1"/>
  <c r="E221" i="1"/>
  <c r="C222" i="1" l="1"/>
  <c r="D222" i="1" l="1"/>
  <c r="G222" i="1"/>
  <c r="H222" i="1" s="1"/>
  <c r="I222" i="1" l="1"/>
  <c r="J222" i="1" s="1"/>
  <c r="E222" i="1"/>
  <c r="C223" i="1" l="1"/>
  <c r="D223" i="1" l="1"/>
  <c r="G223" i="1"/>
  <c r="H223" i="1" s="1"/>
  <c r="I223" i="1" l="1"/>
  <c r="J223" i="1" s="1"/>
  <c r="E223" i="1"/>
  <c r="C224" i="1" l="1"/>
  <c r="D224" i="1" l="1"/>
  <c r="G224" i="1"/>
  <c r="H224" i="1" s="1"/>
  <c r="I224" i="1" l="1"/>
  <c r="J224" i="1" s="1"/>
  <c r="E224" i="1"/>
  <c r="C225" i="1" l="1"/>
  <c r="G225" i="1" l="1"/>
  <c r="H225" i="1" s="1"/>
  <c r="D225" i="1"/>
  <c r="I225" i="1" l="1"/>
  <c r="J225" i="1" s="1"/>
  <c r="E225" i="1"/>
  <c r="C226" i="1" l="1"/>
  <c r="D226" i="1" l="1"/>
  <c r="G226" i="1"/>
  <c r="H226" i="1" s="1"/>
  <c r="I226" i="1" l="1"/>
  <c r="J226" i="1" s="1"/>
  <c r="E226" i="1"/>
  <c r="C227" i="1" l="1"/>
  <c r="D227" i="1" l="1"/>
  <c r="G227" i="1"/>
  <c r="H227" i="1" s="1"/>
  <c r="I227" i="1" l="1"/>
  <c r="J227" i="1" s="1"/>
  <c r="E227" i="1"/>
  <c r="C228" i="1" l="1"/>
  <c r="D228" i="1" l="1"/>
  <c r="G228" i="1"/>
  <c r="H228" i="1" s="1"/>
  <c r="I228" i="1" l="1"/>
  <c r="J228" i="1" s="1"/>
  <c r="E228" i="1"/>
  <c r="C229" i="1" l="1"/>
  <c r="D229" i="1" l="1"/>
  <c r="G229" i="1"/>
  <c r="H229" i="1" s="1"/>
  <c r="I229" i="1" l="1"/>
  <c r="J229" i="1" s="1"/>
  <c r="E229" i="1"/>
  <c r="C230" i="1" l="1"/>
  <c r="G230" i="1" l="1"/>
  <c r="H230" i="1" s="1"/>
  <c r="D230" i="1"/>
  <c r="I230" i="1" l="1"/>
  <c r="J230" i="1" s="1"/>
  <c r="E230" i="1"/>
  <c r="C231" i="1" l="1"/>
  <c r="D231" i="1" l="1"/>
  <c r="G231" i="1"/>
  <c r="H231" i="1" s="1"/>
  <c r="I231" i="1" l="1"/>
  <c r="J231" i="1" s="1"/>
  <c r="E231" i="1"/>
  <c r="C232" i="1" l="1"/>
  <c r="G232" i="1" l="1"/>
  <c r="H232" i="1" s="1"/>
  <c r="D232" i="1"/>
  <c r="I232" i="1" l="1"/>
  <c r="J232" i="1" s="1"/>
  <c r="E232" i="1"/>
  <c r="C233" i="1" l="1"/>
  <c r="G233" i="1" l="1"/>
  <c r="H233" i="1" s="1"/>
  <c r="D233" i="1"/>
  <c r="I233" i="1" l="1"/>
  <c r="J233" i="1" s="1"/>
  <c r="E233" i="1"/>
  <c r="C234" i="1" l="1"/>
  <c r="D234" i="1" l="1"/>
  <c r="G234" i="1"/>
  <c r="H234" i="1" s="1"/>
  <c r="I234" i="1" l="1"/>
  <c r="J234" i="1" s="1"/>
  <c r="E234" i="1"/>
  <c r="C235" i="1" l="1"/>
  <c r="D235" i="1" l="1"/>
  <c r="G235" i="1"/>
  <c r="H235" i="1" s="1"/>
  <c r="I235" i="1" l="1"/>
  <c r="J235" i="1" s="1"/>
  <c r="E235" i="1"/>
  <c r="C236" i="1" l="1"/>
  <c r="D236" i="1" l="1"/>
  <c r="G236" i="1"/>
  <c r="H236" i="1" s="1"/>
  <c r="I236" i="1" l="1"/>
  <c r="J236" i="1" s="1"/>
  <c r="E236" i="1"/>
  <c r="C237" i="1" l="1"/>
  <c r="D237" i="1" l="1"/>
  <c r="G237" i="1"/>
  <c r="H237" i="1" s="1"/>
  <c r="I237" i="1" l="1"/>
  <c r="J237" i="1" s="1"/>
  <c r="E237" i="1"/>
  <c r="C238" i="1" l="1"/>
  <c r="D238" i="1" l="1"/>
  <c r="G238" i="1"/>
  <c r="H238" i="1" s="1"/>
  <c r="I238" i="1" l="1"/>
  <c r="J238" i="1" s="1"/>
  <c r="E238" i="1"/>
  <c r="C239" i="1" l="1"/>
  <c r="G239" i="1" l="1"/>
  <c r="H239" i="1" s="1"/>
  <c r="D239" i="1"/>
  <c r="I239" i="1" l="1"/>
  <c r="J239" i="1" s="1"/>
  <c r="E239" i="1"/>
  <c r="C240" i="1" l="1"/>
  <c r="D240" i="1" l="1"/>
  <c r="G240" i="1"/>
  <c r="H240" i="1" s="1"/>
  <c r="I240" i="1" l="1"/>
  <c r="J240" i="1" s="1"/>
  <c r="E240" i="1"/>
  <c r="C241" i="1" l="1"/>
  <c r="D241" i="1" l="1"/>
  <c r="G241" i="1"/>
  <c r="H241" i="1" s="1"/>
  <c r="I241" i="1" l="1"/>
  <c r="J241" i="1" s="1"/>
  <c r="E241" i="1"/>
  <c r="C242" i="1" l="1"/>
  <c r="D242" i="1" l="1"/>
  <c r="G242" i="1"/>
  <c r="H242" i="1" s="1"/>
  <c r="I242" i="1" l="1"/>
  <c r="J242" i="1" s="1"/>
  <c r="E242" i="1"/>
  <c r="C243" i="1" l="1"/>
  <c r="D243" i="1" l="1"/>
  <c r="G243" i="1"/>
  <c r="H243" i="1" s="1"/>
  <c r="I243" i="1" l="1"/>
  <c r="J243" i="1" s="1"/>
  <c r="E243" i="1"/>
  <c r="C244" i="1" l="1"/>
  <c r="D244" i="1" l="1"/>
  <c r="G244" i="1"/>
  <c r="H244" i="1" s="1"/>
  <c r="I244" i="1" l="1"/>
  <c r="J244" i="1" s="1"/>
  <c r="E244" i="1"/>
  <c r="C245" i="1" l="1"/>
  <c r="D245" i="1" l="1"/>
  <c r="G245" i="1"/>
  <c r="H245" i="1" s="1"/>
  <c r="I245" i="1" l="1"/>
  <c r="J245" i="1" s="1"/>
  <c r="E245" i="1"/>
  <c r="C246" i="1" l="1"/>
  <c r="D246" i="1" l="1"/>
  <c r="G246" i="1"/>
  <c r="H246" i="1" l="1"/>
  <c r="H247" i="1" s="1"/>
  <c r="G247" i="1"/>
  <c r="H255" i="1" s="1"/>
  <c r="I246" i="1"/>
  <c r="E246" i="1"/>
  <c r="H250" i="1" l="1"/>
  <c r="J246" i="1"/>
  <c r="J247" i="1" s="1"/>
  <c r="I247" i="1"/>
  <c r="I255" i="1" s="1"/>
  <c r="J250" i="1" l="1"/>
</calcChain>
</file>

<file path=xl/sharedStrings.xml><?xml version="1.0" encoding="utf-8"?>
<sst xmlns="http://schemas.openxmlformats.org/spreadsheetml/2006/main" count="21" uniqueCount="18">
  <si>
    <t>Date</t>
  </si>
  <si>
    <t>Interest rate</t>
  </si>
  <si>
    <t>Periods</t>
  </si>
  <si>
    <t>Loan Amount</t>
  </si>
  <si>
    <t>EMI</t>
  </si>
  <si>
    <t>t</t>
  </si>
  <si>
    <r>
      <t>INTEREST</t>
    </r>
    <r>
      <rPr>
        <vertAlign val="subscript"/>
        <sz val="10"/>
        <color theme="1"/>
        <rFont val="Trebuchet MS"/>
        <family val="2"/>
      </rPr>
      <t>t</t>
    </r>
  </si>
  <si>
    <r>
      <t>PRINCIPAL</t>
    </r>
    <r>
      <rPr>
        <vertAlign val="subscript"/>
        <sz val="10"/>
        <color theme="1"/>
        <rFont val="Trebuchet MS"/>
        <family val="2"/>
      </rPr>
      <t>t</t>
    </r>
  </si>
  <si>
    <t>RES. PRINCIPAL</t>
  </si>
  <si>
    <r>
      <t>DF</t>
    </r>
    <r>
      <rPr>
        <vertAlign val="subscript"/>
        <sz val="10"/>
        <color theme="1"/>
        <rFont val="Trebuchet MS"/>
        <family val="2"/>
      </rPr>
      <t>t</t>
    </r>
  </si>
  <si>
    <r>
      <t>PV</t>
    </r>
    <r>
      <rPr>
        <vertAlign val="subscript"/>
        <sz val="10"/>
        <color theme="1"/>
        <rFont val="Trebuchet MS"/>
        <family val="2"/>
      </rPr>
      <t>int</t>
    </r>
    <r>
      <rPr>
        <sz val="10"/>
        <color theme="1"/>
        <rFont val="Trebuchet MS"/>
        <family val="2"/>
      </rPr>
      <t>=INT</t>
    </r>
    <r>
      <rPr>
        <vertAlign val="subscript"/>
        <sz val="10"/>
        <color theme="1"/>
        <rFont val="Trebuchet MS"/>
        <family val="2"/>
      </rPr>
      <t>t</t>
    </r>
    <r>
      <rPr>
        <sz val="10"/>
        <color theme="1"/>
        <rFont val="Trebuchet MS"/>
        <family val="2"/>
      </rPr>
      <t>*DF</t>
    </r>
    <r>
      <rPr>
        <vertAlign val="subscript"/>
        <sz val="10"/>
        <color theme="1"/>
        <rFont val="Trebuchet MS"/>
        <family val="2"/>
      </rPr>
      <t>t</t>
    </r>
  </si>
  <si>
    <r>
      <t>t*PV</t>
    </r>
    <r>
      <rPr>
        <vertAlign val="subscript"/>
        <sz val="10"/>
        <color theme="1"/>
        <rFont val="Trebuchet MS"/>
        <family val="2"/>
      </rPr>
      <t>int</t>
    </r>
  </si>
  <si>
    <r>
      <t>PV</t>
    </r>
    <r>
      <rPr>
        <vertAlign val="subscript"/>
        <sz val="10"/>
        <color theme="1"/>
        <rFont val="Trebuchet MS"/>
        <family val="2"/>
      </rPr>
      <t>princ</t>
    </r>
    <r>
      <rPr>
        <sz val="10"/>
        <color theme="1"/>
        <rFont val="Trebuchet MS"/>
        <family val="2"/>
      </rPr>
      <t>=PRINC</t>
    </r>
    <r>
      <rPr>
        <vertAlign val="subscript"/>
        <sz val="10"/>
        <color theme="1"/>
        <rFont val="Trebuchet MS"/>
        <family val="2"/>
      </rPr>
      <t>t</t>
    </r>
    <r>
      <rPr>
        <sz val="10"/>
        <color theme="1"/>
        <rFont val="Trebuchet MS"/>
        <family val="2"/>
      </rPr>
      <t>*DF</t>
    </r>
    <r>
      <rPr>
        <vertAlign val="subscript"/>
        <sz val="10"/>
        <color theme="1"/>
        <rFont val="Trebuchet MS"/>
        <family val="2"/>
      </rPr>
      <t>t</t>
    </r>
  </si>
  <si>
    <r>
      <t>t*PV</t>
    </r>
    <r>
      <rPr>
        <vertAlign val="subscript"/>
        <sz val="10"/>
        <color theme="1"/>
        <rFont val="Trebuchet MS"/>
        <family val="2"/>
      </rPr>
      <t>princ</t>
    </r>
  </si>
  <si>
    <t>Macaulay Duration</t>
  </si>
  <si>
    <t>Modified Duration</t>
  </si>
  <si>
    <t>IO tranche</t>
  </si>
  <si>
    <t>PO tranche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</si>
</sst>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₹&quot;\ #,##0;[Red]&quot;₹&quot;\ \-#,##0"/>
    <numFmt numFmtId="8" formatCode="&quot;₹&quot;\ #,##0.00;[Red]&quot;₹&quot;\ \-#,##0.00"/>
    <numFmt numFmtId="164" formatCode="#,##0.00000"/>
    <numFmt numFmtId="165" formatCode="0.000%"/>
  </numFmts>
  <fonts count="5" x14ac:knownFonts="1">
    <font>
      <sz val="10"/>
      <color theme="1"/>
      <name val="Trebuchet MS"/>
      <family val="2"/>
    </font>
    <font>
      <b/>
      <sz val="10"/>
      <color theme="1"/>
      <name val="Trebuchet MS"/>
      <family val="2"/>
    </font>
    <font>
      <vertAlign val="subscript"/>
      <sz val="10"/>
      <color theme="1"/>
      <name val="Trebuchet MS"/>
      <family val="2"/>
    </font>
    <font>
      <i/>
      <sz val="10"/>
      <color theme="1"/>
      <name val="Trebuchet MS"/>
      <family val="2"/>
    </font>
    <font>
      <sz val="10"/>
      <color rgb="FF000000"/>
      <name val="Trebuchet MS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699"/>
        <bgColor rgb="FF000000"/>
      </patternFill>
    </fill>
    <fill>
      <patternFill patternType="solid">
        <fgColor rgb="FFF8CBAD"/>
        <bgColor rgb="FF000000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8" fontId="0" fillId="0" borderId="0" xfId="0" applyNumberFormat="1" applyAlignment="1">
      <alignment horizontal="right" vertical="center" indent="1"/>
    </xf>
    <xf numFmtId="4" fontId="0" fillId="0" borderId="0" xfId="0" applyNumberFormat="1" applyAlignment="1">
      <alignment horizontal="right" vertical="center" indent="1"/>
    </xf>
    <xf numFmtId="0" fontId="0" fillId="0" borderId="0" xfId="0" applyAlignment="1">
      <alignment horizontal="right" vertical="center" indent="1"/>
    </xf>
    <xf numFmtId="8" fontId="0" fillId="0" borderId="1" xfId="0" applyNumberFormat="1" applyBorder="1" applyAlignment="1">
      <alignment horizontal="right" vertical="center" indent="1"/>
    </xf>
    <xf numFmtId="8" fontId="0" fillId="2" borderId="1" xfId="0" applyNumberFormat="1" applyFill="1" applyBorder="1" applyAlignment="1">
      <alignment horizontal="right" vertical="center" indent="1"/>
    </xf>
    <xf numFmtId="8" fontId="0" fillId="3" borderId="1" xfId="0" applyNumberFormat="1" applyFill="1" applyBorder="1" applyAlignment="1">
      <alignment horizontal="right" vertical="center" indent="1"/>
    </xf>
    <xf numFmtId="164" fontId="0" fillId="0" borderId="0" xfId="0" applyNumberFormat="1" applyAlignment="1">
      <alignment horizontal="right" vertical="center" indent="1"/>
    </xf>
    <xf numFmtId="15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right" vertical="center" indent="1"/>
    </xf>
    <xf numFmtId="8" fontId="3" fillId="0" borderId="0" xfId="0" applyNumberFormat="1" applyFont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6" fontId="0" fillId="0" borderId="0" xfId="0" applyNumberFormat="1" applyAlignment="1">
      <alignment horizontal="right" vertical="center" indent="1"/>
    </xf>
    <xf numFmtId="0" fontId="1" fillId="0" borderId="0" xfId="0" applyFont="1" applyAlignment="1">
      <alignment horizontal="left" vertical="center" indent="1"/>
    </xf>
    <xf numFmtId="165" fontId="0" fillId="0" borderId="0" xfId="0" applyNumberFormat="1" applyAlignment="1">
      <alignment horizontal="right" vertical="center" indent="1"/>
    </xf>
    <xf numFmtId="15" fontId="0" fillId="0" borderId="0" xfId="0" applyNumberFormat="1" applyAlignment="1">
      <alignment horizontal="right" vertical="center" indent="1"/>
    </xf>
    <xf numFmtId="0" fontId="4" fillId="0" borderId="0" xfId="0" applyFont="1"/>
    <xf numFmtId="0" fontId="4" fillId="0" borderId="0" xfId="0" applyFont="1" applyAlignment="1">
      <alignment horizontal="right" vertical="center" indent="1"/>
    </xf>
    <xf numFmtId="10" fontId="4" fillId="0" borderId="0" xfId="0" applyNumberFormat="1" applyFont="1" applyAlignment="1">
      <alignment horizontal="right" vertical="center" indent="1"/>
    </xf>
    <xf numFmtId="8" fontId="4" fillId="0" borderId="0" xfId="0" applyNumberFormat="1" applyFont="1" applyAlignment="1">
      <alignment horizontal="right" vertical="center" indent="1"/>
    </xf>
    <xf numFmtId="8" fontId="4" fillId="4" borderId="0" xfId="0" applyNumberFormat="1" applyFont="1" applyFill="1" applyAlignment="1">
      <alignment horizontal="right" vertical="center" indent="1"/>
    </xf>
    <xf numFmtId="8" fontId="4" fillId="5" borderId="0" xfId="0" applyNumberFormat="1" applyFont="1" applyFill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r>
              <a:rPr lang="en-IN"/>
              <a:t>IO</a:t>
            </a:r>
            <a:r>
              <a:rPr lang="en-IN" baseline="0"/>
              <a:t> vs. PO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'IOs and POs'!$H$254</c:f>
              <c:strCache>
                <c:ptCount val="1"/>
                <c:pt idx="0">
                  <c:v>IO tranche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'IOs and POs'!$G$256:$G$417</c:f>
              <c:numCache>
                <c:formatCode>0.00%</c:formatCode>
                <c:ptCount val="162"/>
                <c:pt idx="0">
                  <c:v>0.02</c:v>
                </c:pt>
                <c:pt idx="1">
                  <c:v>2.1000000000000001E-2</c:v>
                </c:pt>
                <c:pt idx="2">
                  <c:v>2.1999999999999999E-2</c:v>
                </c:pt>
                <c:pt idx="3">
                  <c:v>2.3E-2</c:v>
                </c:pt>
                <c:pt idx="4">
                  <c:v>2.4E-2</c:v>
                </c:pt>
                <c:pt idx="5">
                  <c:v>2.5000000000000001E-2</c:v>
                </c:pt>
                <c:pt idx="6">
                  <c:v>2.5999999999999999E-2</c:v>
                </c:pt>
                <c:pt idx="7">
                  <c:v>2.7E-2</c:v>
                </c:pt>
                <c:pt idx="8">
                  <c:v>2.8000000000000001E-2</c:v>
                </c:pt>
                <c:pt idx="9">
                  <c:v>2.9000000000000001E-2</c:v>
                </c:pt>
                <c:pt idx="10">
                  <c:v>0.03</c:v>
                </c:pt>
                <c:pt idx="11">
                  <c:v>3.1E-2</c:v>
                </c:pt>
                <c:pt idx="12">
                  <c:v>3.2000000000000001E-2</c:v>
                </c:pt>
                <c:pt idx="13">
                  <c:v>3.3000000000000002E-2</c:v>
                </c:pt>
                <c:pt idx="14">
                  <c:v>3.4000000000000002E-2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3.6999999999999998E-2</c:v>
                </c:pt>
                <c:pt idx="18">
                  <c:v>3.7999999999999999E-2</c:v>
                </c:pt>
                <c:pt idx="19">
                  <c:v>3.9E-2</c:v>
                </c:pt>
                <c:pt idx="20">
                  <c:v>0.04</c:v>
                </c:pt>
                <c:pt idx="21">
                  <c:v>4.1000000000000002E-2</c:v>
                </c:pt>
                <c:pt idx="22">
                  <c:v>4.2000000000000003E-2</c:v>
                </c:pt>
                <c:pt idx="23">
                  <c:v>4.2999999999999997E-2</c:v>
                </c:pt>
                <c:pt idx="24">
                  <c:v>4.3999999999999997E-2</c:v>
                </c:pt>
                <c:pt idx="25">
                  <c:v>4.4999999999999998E-2</c:v>
                </c:pt>
                <c:pt idx="26">
                  <c:v>4.5999999999999999E-2</c:v>
                </c:pt>
                <c:pt idx="27">
                  <c:v>4.7E-2</c:v>
                </c:pt>
                <c:pt idx="28">
                  <c:v>4.8000000000000001E-2</c:v>
                </c:pt>
                <c:pt idx="29">
                  <c:v>4.9000000000000002E-2</c:v>
                </c:pt>
                <c:pt idx="30">
                  <c:v>0.05</c:v>
                </c:pt>
                <c:pt idx="31">
                  <c:v>5.0999999999999997E-2</c:v>
                </c:pt>
                <c:pt idx="32">
                  <c:v>5.1999999999999998E-2</c:v>
                </c:pt>
                <c:pt idx="33">
                  <c:v>5.2999999999999999E-2</c:v>
                </c:pt>
                <c:pt idx="34">
                  <c:v>5.3999999999999999E-2</c:v>
                </c:pt>
                <c:pt idx="35">
                  <c:v>5.5E-2</c:v>
                </c:pt>
                <c:pt idx="36">
                  <c:v>5.6000000000000001E-2</c:v>
                </c:pt>
                <c:pt idx="37">
                  <c:v>5.7000000000000002E-2</c:v>
                </c:pt>
                <c:pt idx="38">
                  <c:v>5.8000000000000003E-2</c:v>
                </c:pt>
                <c:pt idx="39">
                  <c:v>5.8999999999999997E-2</c:v>
                </c:pt>
                <c:pt idx="40">
                  <c:v>0.06</c:v>
                </c:pt>
                <c:pt idx="41">
                  <c:v>6.0999999999999999E-2</c:v>
                </c:pt>
                <c:pt idx="42">
                  <c:v>6.2E-2</c:v>
                </c:pt>
                <c:pt idx="43">
                  <c:v>6.3E-2</c:v>
                </c:pt>
                <c:pt idx="44">
                  <c:v>6.4000000000000001E-2</c:v>
                </c:pt>
                <c:pt idx="45">
                  <c:v>6.5000000000000002E-2</c:v>
                </c:pt>
                <c:pt idx="46">
                  <c:v>6.6000000000000003E-2</c:v>
                </c:pt>
                <c:pt idx="47">
                  <c:v>6.7000000000000004E-2</c:v>
                </c:pt>
                <c:pt idx="48">
                  <c:v>6.8000000000000005E-2</c:v>
                </c:pt>
                <c:pt idx="49">
                  <c:v>6.9000000000000006E-2</c:v>
                </c:pt>
                <c:pt idx="50">
                  <c:v>7.0000000000000007E-2</c:v>
                </c:pt>
                <c:pt idx="51">
                  <c:v>7.0999999999999994E-2</c:v>
                </c:pt>
                <c:pt idx="52">
                  <c:v>7.1999999999999995E-2</c:v>
                </c:pt>
                <c:pt idx="53">
                  <c:v>7.2999999999999995E-2</c:v>
                </c:pt>
                <c:pt idx="54">
                  <c:v>7.3999999999999996E-2</c:v>
                </c:pt>
                <c:pt idx="55">
                  <c:v>7.4999999999999997E-2</c:v>
                </c:pt>
                <c:pt idx="56">
                  <c:v>7.5999999999999998E-2</c:v>
                </c:pt>
                <c:pt idx="57">
                  <c:v>7.6999999999999999E-2</c:v>
                </c:pt>
                <c:pt idx="58">
                  <c:v>7.8E-2</c:v>
                </c:pt>
                <c:pt idx="59">
                  <c:v>7.9000000000000001E-2</c:v>
                </c:pt>
                <c:pt idx="60">
                  <c:v>0.08</c:v>
                </c:pt>
                <c:pt idx="61">
                  <c:v>8.1000000000000003E-2</c:v>
                </c:pt>
                <c:pt idx="62">
                  <c:v>8.2000000000000003E-2</c:v>
                </c:pt>
                <c:pt idx="63">
                  <c:v>8.3000000000000004E-2</c:v>
                </c:pt>
                <c:pt idx="64">
                  <c:v>8.4000000000000005E-2</c:v>
                </c:pt>
                <c:pt idx="65">
                  <c:v>8.5000000000000006E-2</c:v>
                </c:pt>
                <c:pt idx="66">
                  <c:v>8.5999999999999993E-2</c:v>
                </c:pt>
                <c:pt idx="67">
                  <c:v>8.6999999999999994E-2</c:v>
                </c:pt>
                <c:pt idx="68">
                  <c:v>8.7999999999999995E-2</c:v>
                </c:pt>
                <c:pt idx="69">
                  <c:v>8.8999999999999996E-2</c:v>
                </c:pt>
                <c:pt idx="70">
                  <c:v>0.09</c:v>
                </c:pt>
                <c:pt idx="71">
                  <c:v>9.01E-2</c:v>
                </c:pt>
                <c:pt idx="72">
                  <c:v>9.0999999999999998E-2</c:v>
                </c:pt>
                <c:pt idx="73">
                  <c:v>9.1999999999999998E-2</c:v>
                </c:pt>
                <c:pt idx="74">
                  <c:v>9.2999999999999999E-2</c:v>
                </c:pt>
                <c:pt idx="75">
                  <c:v>9.4E-2</c:v>
                </c:pt>
                <c:pt idx="76">
                  <c:v>9.5000000000000001E-2</c:v>
                </c:pt>
                <c:pt idx="77">
                  <c:v>9.6000000000000002E-2</c:v>
                </c:pt>
                <c:pt idx="78">
                  <c:v>9.7000000000000003E-2</c:v>
                </c:pt>
                <c:pt idx="79">
                  <c:v>9.8000000000000004E-2</c:v>
                </c:pt>
                <c:pt idx="80">
                  <c:v>9.9000000000000005E-2</c:v>
                </c:pt>
                <c:pt idx="81">
                  <c:v>0.1</c:v>
                </c:pt>
                <c:pt idx="82">
                  <c:v>0.10100000000000001</c:v>
                </c:pt>
                <c:pt idx="83">
                  <c:v>0.10199999999999999</c:v>
                </c:pt>
                <c:pt idx="84">
                  <c:v>0.10299999999999999</c:v>
                </c:pt>
                <c:pt idx="85">
                  <c:v>0.104</c:v>
                </c:pt>
                <c:pt idx="86">
                  <c:v>0.105</c:v>
                </c:pt>
                <c:pt idx="87">
                  <c:v>0.106</c:v>
                </c:pt>
                <c:pt idx="88">
                  <c:v>0.107</c:v>
                </c:pt>
                <c:pt idx="89">
                  <c:v>0.108</c:v>
                </c:pt>
                <c:pt idx="90">
                  <c:v>0.109</c:v>
                </c:pt>
                <c:pt idx="91">
                  <c:v>0.11</c:v>
                </c:pt>
                <c:pt idx="92">
                  <c:v>0.111</c:v>
                </c:pt>
                <c:pt idx="93">
                  <c:v>0.112</c:v>
                </c:pt>
                <c:pt idx="94">
                  <c:v>0.113</c:v>
                </c:pt>
                <c:pt idx="95">
                  <c:v>0.114</c:v>
                </c:pt>
                <c:pt idx="96">
                  <c:v>0.115</c:v>
                </c:pt>
                <c:pt idx="97">
                  <c:v>0.11600000000000001</c:v>
                </c:pt>
                <c:pt idx="98">
                  <c:v>0.11700000000000001</c:v>
                </c:pt>
                <c:pt idx="99">
                  <c:v>0.11799999999999999</c:v>
                </c:pt>
                <c:pt idx="100">
                  <c:v>0.11899999999999999</c:v>
                </c:pt>
                <c:pt idx="101">
                  <c:v>0.12</c:v>
                </c:pt>
                <c:pt idx="102">
                  <c:v>0.121</c:v>
                </c:pt>
                <c:pt idx="103">
                  <c:v>0.122</c:v>
                </c:pt>
                <c:pt idx="104">
                  <c:v>0.123</c:v>
                </c:pt>
                <c:pt idx="105">
                  <c:v>0.124</c:v>
                </c:pt>
                <c:pt idx="106">
                  <c:v>0.125</c:v>
                </c:pt>
                <c:pt idx="107">
                  <c:v>0.126</c:v>
                </c:pt>
                <c:pt idx="108">
                  <c:v>0.127</c:v>
                </c:pt>
                <c:pt idx="109">
                  <c:v>0.128</c:v>
                </c:pt>
                <c:pt idx="110">
                  <c:v>0.129</c:v>
                </c:pt>
                <c:pt idx="111">
                  <c:v>0.13</c:v>
                </c:pt>
                <c:pt idx="112">
                  <c:v>0.13100000000000001</c:v>
                </c:pt>
                <c:pt idx="113">
                  <c:v>0.13200000000000001</c:v>
                </c:pt>
                <c:pt idx="114">
                  <c:v>0.13300000000000001</c:v>
                </c:pt>
                <c:pt idx="115">
                  <c:v>0.13400000000000001</c:v>
                </c:pt>
                <c:pt idx="116">
                  <c:v>0.13500000000000001</c:v>
                </c:pt>
                <c:pt idx="117">
                  <c:v>0.13600000000000001</c:v>
                </c:pt>
                <c:pt idx="118">
                  <c:v>0.13700000000000001</c:v>
                </c:pt>
                <c:pt idx="119">
                  <c:v>0.13800000000000001</c:v>
                </c:pt>
                <c:pt idx="120">
                  <c:v>0.13900000000000001</c:v>
                </c:pt>
                <c:pt idx="121">
                  <c:v>0.14000000000000001</c:v>
                </c:pt>
                <c:pt idx="122">
                  <c:v>0.14099999999999999</c:v>
                </c:pt>
                <c:pt idx="123">
                  <c:v>0.14199999999999999</c:v>
                </c:pt>
                <c:pt idx="124">
                  <c:v>0.14299999999999999</c:v>
                </c:pt>
                <c:pt idx="125">
                  <c:v>0.14399999999999999</c:v>
                </c:pt>
                <c:pt idx="126">
                  <c:v>0.14499999999999999</c:v>
                </c:pt>
                <c:pt idx="127">
                  <c:v>0.14599999999999999</c:v>
                </c:pt>
                <c:pt idx="128">
                  <c:v>0.14699999999999999</c:v>
                </c:pt>
                <c:pt idx="129">
                  <c:v>0.14799999999999999</c:v>
                </c:pt>
                <c:pt idx="130">
                  <c:v>0.14899999999999999</c:v>
                </c:pt>
                <c:pt idx="131">
                  <c:v>0.15</c:v>
                </c:pt>
                <c:pt idx="132">
                  <c:v>0.151</c:v>
                </c:pt>
                <c:pt idx="133">
                  <c:v>0.152</c:v>
                </c:pt>
                <c:pt idx="134">
                  <c:v>0.153</c:v>
                </c:pt>
                <c:pt idx="135">
                  <c:v>0.154</c:v>
                </c:pt>
                <c:pt idx="136">
                  <c:v>0.155</c:v>
                </c:pt>
                <c:pt idx="137">
                  <c:v>0.156</c:v>
                </c:pt>
                <c:pt idx="138">
                  <c:v>0.157</c:v>
                </c:pt>
                <c:pt idx="139">
                  <c:v>0.158</c:v>
                </c:pt>
                <c:pt idx="140">
                  <c:v>0.159</c:v>
                </c:pt>
                <c:pt idx="141">
                  <c:v>0.16</c:v>
                </c:pt>
                <c:pt idx="142">
                  <c:v>0.161</c:v>
                </c:pt>
                <c:pt idx="143">
                  <c:v>0.16200000000000001</c:v>
                </c:pt>
                <c:pt idx="144">
                  <c:v>0.16300000000000001</c:v>
                </c:pt>
                <c:pt idx="145">
                  <c:v>0.16400000000000001</c:v>
                </c:pt>
                <c:pt idx="146">
                  <c:v>0.16500000000000001</c:v>
                </c:pt>
                <c:pt idx="147">
                  <c:v>0.16600000000000001</c:v>
                </c:pt>
                <c:pt idx="148">
                  <c:v>0.16700000000000001</c:v>
                </c:pt>
                <c:pt idx="149">
                  <c:v>0.16800000000000001</c:v>
                </c:pt>
                <c:pt idx="150">
                  <c:v>0.16900000000000001</c:v>
                </c:pt>
                <c:pt idx="151">
                  <c:v>0.17</c:v>
                </c:pt>
                <c:pt idx="152">
                  <c:v>0.17100000000000001</c:v>
                </c:pt>
                <c:pt idx="153">
                  <c:v>0.17199999999999999</c:v>
                </c:pt>
                <c:pt idx="154">
                  <c:v>0.17299999999999999</c:v>
                </c:pt>
                <c:pt idx="155">
                  <c:v>0.17399999999999999</c:v>
                </c:pt>
                <c:pt idx="156">
                  <c:v>0.17499999999999999</c:v>
                </c:pt>
                <c:pt idx="157">
                  <c:v>0.17599999999999999</c:v>
                </c:pt>
                <c:pt idx="158">
                  <c:v>0.17699999999999999</c:v>
                </c:pt>
                <c:pt idx="159">
                  <c:v>0.17799999999999999</c:v>
                </c:pt>
                <c:pt idx="160">
                  <c:v>0.17899999999999999</c:v>
                </c:pt>
                <c:pt idx="161">
                  <c:v>0.18</c:v>
                </c:pt>
              </c:numCache>
            </c:numRef>
          </c:xVal>
          <c:yVal>
            <c:numRef>
              <c:f>'IOs and POs'!$H$256:$H$417</c:f>
              <c:numCache>
                <c:formatCode>"₹"#,##0.00_);[Red]\("₹"#,##0.00\)</c:formatCode>
                <c:ptCount val="162"/>
                <c:pt idx="0">
                  <c:v>1872346.0488357868</c:v>
                </c:pt>
                <c:pt idx="1">
                  <c:v>1958882.2296074654</c:v>
                </c:pt>
                <c:pt idx="2">
                  <c:v>2044751.8915314621</c:v>
                </c:pt>
                <c:pt idx="3">
                  <c:v>2129956.3957926016</c:v>
                </c:pt>
                <c:pt idx="4">
                  <c:v>2214497.152041777</c:v>
                </c:pt>
                <c:pt idx="5">
                  <c:v>2298375.6180222393</c:v>
                </c:pt>
                <c:pt idx="6">
                  <c:v>2381593.2991832681</c:v>
                </c:pt>
                <c:pt idx="7">
                  <c:v>2464151.7482814426</c:v>
                </c:pt>
                <c:pt idx="8">
                  <c:v>2546052.5649705804</c:v>
                </c:pt>
                <c:pt idx="9">
                  <c:v>2627297.3953791102</c:v>
                </c:pt>
                <c:pt idx="10">
                  <c:v>2707887.9316769294</c:v>
                </c:pt>
                <c:pt idx="11">
                  <c:v>2787825.911629871</c:v>
                </c:pt>
                <c:pt idx="12">
                  <c:v>2867113.1181441378</c:v>
                </c:pt>
                <c:pt idx="13">
                  <c:v>2945751.3787991698</c:v>
                </c:pt>
                <c:pt idx="14">
                  <c:v>3023742.5653705127</c:v>
                </c:pt>
                <c:pt idx="15">
                  <c:v>3101088.5933418437</c:v>
                </c:pt>
                <c:pt idx="16">
                  <c:v>3177791.4214074402</c:v>
                </c:pt>
                <c:pt idx="17">
                  <c:v>3253853.050964341</c:v>
                </c:pt>
                <c:pt idx="18">
                  <c:v>3329275.5255954531</c:v>
                </c:pt>
                <c:pt idx="19">
                  <c:v>3404060.9305431116</c:v>
                </c:pt>
                <c:pt idx="20">
                  <c:v>3478211.3921733499</c:v>
                </c:pt>
                <c:pt idx="21">
                  <c:v>3551729.077432205</c:v>
                </c:pt>
                <c:pt idx="22">
                  <c:v>3624616.1932925126</c:v>
                </c:pt>
                <c:pt idx="23">
                  <c:v>3696874.9861935871</c:v>
                </c:pt>
                <c:pt idx="24">
                  <c:v>3768507.7414719728</c:v>
                </c:pt>
                <c:pt idx="25">
                  <c:v>3839516.7827854794</c:v>
                </c:pt>
                <c:pt idx="26">
                  <c:v>3909904.4715289678</c:v>
                </c:pt>
                <c:pt idx="27">
                  <c:v>3979673.2062439136</c:v>
                </c:pt>
                <c:pt idx="28">
                  <c:v>4048825.4220204679</c:v>
                </c:pt>
                <c:pt idx="29">
                  <c:v>4117363.5898935637</c:v>
                </c:pt>
                <c:pt idx="30">
                  <c:v>4185290.2162325843</c:v>
                </c:pt>
                <c:pt idx="31">
                  <c:v>4252607.8421248365</c:v>
                </c:pt>
                <c:pt idx="32">
                  <c:v>4319319.042754109</c:v>
                </c:pt>
                <c:pt idx="33">
                  <c:v>4385426.4267731244</c:v>
                </c:pt>
                <c:pt idx="34">
                  <c:v>4450932.6356716147</c:v>
                </c:pt>
                <c:pt idx="35">
                  <c:v>4515840.3431388726</c:v>
                </c:pt>
                <c:pt idx="36">
                  <c:v>4580152.2544229822</c:v>
                </c:pt>
                <c:pt idx="37">
                  <c:v>4643871.1056844806</c:v>
                </c:pt>
                <c:pt idx="38">
                  <c:v>4706999.6633475814</c:v>
                </c:pt>
                <c:pt idx="39">
                  <c:v>4769540.723446385</c:v>
                </c:pt>
                <c:pt idx="40">
                  <c:v>4831497.1109692492</c:v>
                </c:pt>
                <c:pt idx="41">
                  <c:v>4892871.6791987363</c:v>
                </c:pt>
                <c:pt idx="42">
                  <c:v>4953667.3090502005</c:v>
                </c:pt>
                <c:pt idx="43">
                  <c:v>5013886.90840693</c:v>
                </c:pt>
                <c:pt idx="44">
                  <c:v>5073533.411453261</c:v>
                </c:pt>
                <c:pt idx="45">
                  <c:v>5132609.7780068154</c:v>
                </c:pt>
                <c:pt idx="46">
                  <c:v>5191118.9928475032</c:v>
                </c:pt>
                <c:pt idx="47">
                  <c:v>5249064.0650470061</c:v>
                </c:pt>
                <c:pt idx="48">
                  <c:v>5306448.0272956248</c:v>
                </c:pt>
                <c:pt idx="49">
                  <c:v>5363273.9352297215</c:v>
                </c:pt>
                <c:pt idx="50">
                  <c:v>5419544.8667575885</c:v>
                </c:pt>
                <c:pt idx="51">
                  <c:v>5475263.9213861413</c:v>
                </c:pt>
                <c:pt idx="52">
                  <c:v>5530434.2195464671</c:v>
                </c:pt>
                <c:pt idx="53">
                  <c:v>5585058.901921019</c:v>
                </c:pt>
                <c:pt idx="54">
                  <c:v>5639141.1287704241</c:v>
                </c:pt>
                <c:pt idx="55">
                  <c:v>5692684.0792612229</c:v>
                </c:pt>
                <c:pt idx="56">
                  <c:v>5745690.9507954381</c:v>
                </c:pt>
                <c:pt idx="57">
                  <c:v>5798164.958340303</c:v>
                </c:pt>
                <c:pt idx="58">
                  <c:v>5850109.3337611137</c:v>
                </c:pt>
                <c:pt idx="59">
                  <c:v>5901527.3251538929</c:v>
                </c:pt>
                <c:pt idx="60">
                  <c:v>5952422.1961823693</c:v>
                </c:pt>
                <c:pt idx="61">
                  <c:v>6002797.2254152549</c:v>
                </c:pt>
                <c:pt idx="62">
                  <c:v>6052655.7056676801</c:v>
                </c:pt>
                <c:pt idx="63">
                  <c:v>6102000.9433438433</c:v>
                </c:pt>
                <c:pt idx="64">
                  <c:v>6150836.257784198</c:v>
                </c:pt>
                <c:pt idx="65">
                  <c:v>6199164.980614488</c:v>
                </c:pt>
                <c:pt idx="66">
                  <c:v>6246990.4550992055</c:v>
                </c:pt>
                <c:pt idx="67">
                  <c:v>6294316.0354979178</c:v>
                </c:pt>
                <c:pt idx="68">
                  <c:v>6341145.0864257086</c:v>
                </c:pt>
                <c:pt idx="69">
                  <c:v>6387480.9822179833</c:v>
                </c:pt>
                <c:pt idx="70">
                  <c:v>6433327.1062985677</c:v>
                </c:pt>
                <c:pt idx="71">
                  <c:v>6437884.9117802409</c:v>
                </c:pt>
                <c:pt idx="72">
                  <c:v>6478686.8505535061</c:v>
                </c:pt>
                <c:pt idx="73">
                  <c:v>6523563.6147078723</c:v>
                </c:pt>
                <c:pt idx="74">
                  <c:v>6567960.8057090212</c:v>
                </c:pt>
                <c:pt idx="75">
                  <c:v>6611881.8371131606</c:v>
                </c:pt>
                <c:pt idx="76">
                  <c:v>6655330.1284784954</c:v>
                </c:pt>
                <c:pt idx="77">
                  <c:v>6698309.1047622012</c:v>
                </c:pt>
                <c:pt idx="78">
                  <c:v>6740822.1957243402</c:v>
                </c:pt>
                <c:pt idx="79">
                  <c:v>6782872.8353360323</c:v>
                </c:pt>
                <c:pt idx="80">
                  <c:v>6824464.4611939359</c:v>
                </c:pt>
                <c:pt idx="81">
                  <c:v>6865600.5139409909</c:v>
                </c:pt>
                <c:pt idx="82">
                  <c:v>6906284.4366919752</c:v>
                </c:pt>
                <c:pt idx="83">
                  <c:v>6946519.6744669927</c:v>
                </c:pt>
                <c:pt idx="84">
                  <c:v>6986309.6736291647</c:v>
                </c:pt>
                <c:pt idx="85">
                  <c:v>7025657.8813307146</c:v>
                </c:pt>
                <c:pt idx="86">
                  <c:v>7064567.7449636515</c:v>
                </c:pt>
                <c:pt idx="87">
                  <c:v>7103042.7116191862</c:v>
                </c:pt>
                <c:pt idx="88">
                  <c:v>7141086.2275515813</c:v>
                </c:pt>
                <c:pt idx="89">
                  <c:v>7178701.737650861</c:v>
                </c:pt>
                <c:pt idx="90">
                  <c:v>7215892.6849211464</c:v>
                </c:pt>
                <c:pt idx="91">
                  <c:v>7252662.5099665783</c:v>
                </c:pt>
                <c:pt idx="92">
                  <c:v>7289014.6504844725</c:v>
                </c:pt>
                <c:pt idx="93">
                  <c:v>7324952.5407649409</c:v>
                </c:pt>
                <c:pt idx="94">
                  <c:v>7360479.6111987624</c:v>
                </c:pt>
                <c:pt idx="95">
                  <c:v>7395599.2877919096</c:v>
                </c:pt>
                <c:pt idx="96">
                  <c:v>7430314.9916877188</c:v>
                </c:pt>
                <c:pt idx="97">
                  <c:v>7464630.1386965411</c:v>
                </c:pt>
                <c:pt idx="98">
                  <c:v>7498548.1388331149</c:v>
                </c:pt>
                <c:pt idx="99">
                  <c:v>7532072.3958609141</c:v>
                </c:pt>
                <c:pt idx="100">
                  <c:v>7565206.3068451406</c:v>
                </c:pt>
                <c:pt idx="101">
                  <c:v>7597953.2617122242</c:v>
                </c:pt>
                <c:pt idx="102">
                  <c:v>7630316.6428182572</c:v>
                </c:pt>
                <c:pt idx="103">
                  <c:v>7662299.8245237814</c:v>
                </c:pt>
                <c:pt idx="104">
                  <c:v>7693906.1727782646</c:v>
                </c:pt>
                <c:pt idx="105">
                  <c:v>7725139.0447105588</c:v>
                </c:pt>
                <c:pt idx="106">
                  <c:v>7756001.7882277351</c:v>
                </c:pt>
                <c:pt idx="107">
                  <c:v>7786497.7416228727</c:v>
                </c:pt>
                <c:pt idx="108">
                  <c:v>7816630.2331890622</c:v>
                </c:pt>
                <c:pt idx="109">
                  <c:v>7846402.580842616</c:v>
                </c:pt>
                <c:pt idx="110">
                  <c:v>7875818.0917531</c:v>
                </c:pt>
                <c:pt idx="111">
                  <c:v>7904880.0619825972</c:v>
                </c:pt>
                <c:pt idx="112">
                  <c:v>7933591.7761311308</c:v>
                </c:pt>
                <c:pt idx="113">
                  <c:v>7961956.506991786</c:v>
                </c:pt>
                <c:pt idx="114">
                  <c:v>7989977.5152121754</c:v>
                </c:pt>
                <c:pt idx="115">
                  <c:v>8017658.0489649801</c:v>
                </c:pt>
                <c:pt idx="116">
                  <c:v>8045001.3436256284</c:v>
                </c:pt>
                <c:pt idx="117">
                  <c:v>8072010.6214576084</c:v>
                </c:pt>
                <c:pt idx="118">
                  <c:v>8098689.0913068904</c:v>
                </c:pt>
                <c:pt idx="119">
                  <c:v>8125039.9483020948</c:v>
                </c:pt>
                <c:pt idx="120">
                  <c:v>8151066.3735648198</c:v>
                </c:pt>
                <c:pt idx="121">
                  <c:v>8176771.5339251244</c:v>
                </c:pt>
                <c:pt idx="122">
                  <c:v>8202158.5816472201</c:v>
                </c:pt>
                <c:pt idx="123">
                  <c:v>8227230.6541606216</c:v>
                </c:pt>
                <c:pt idx="124">
                  <c:v>8251990.8738008058</c:v>
                </c:pt>
                <c:pt idx="125">
                  <c:v>8276442.3475555731</c:v>
                </c:pt>
                <c:pt idx="126">
                  <c:v>8300588.1668209862</c:v>
                </c:pt>
                <c:pt idx="127">
                  <c:v>8324431.4071625732</c:v>
                </c:pt>
                <c:pt idx="128">
                  <c:v>8347975.1280860677</c:v>
                </c:pt>
                <c:pt idx="129">
                  <c:v>8371222.3728141431</c:v>
                </c:pt>
                <c:pt idx="130">
                  <c:v>8394176.1680705063</c:v>
                </c:pt>
                <c:pt idx="131">
                  <c:v>8416839.5238722973</c:v>
                </c:pt>
                <c:pt idx="132">
                  <c:v>8439215.433328459</c:v>
                </c:pt>
                <c:pt idx="133">
                  <c:v>8461306.8724462595</c:v>
                </c:pt>
                <c:pt idx="134">
                  <c:v>8483116.7999437712</c:v>
                </c:pt>
                <c:pt idx="135">
                  <c:v>8504648.1570707317</c:v>
                </c:pt>
                <c:pt idx="136">
                  <c:v>8525903.8674350437</c:v>
                </c:pt>
                <c:pt idx="137">
                  <c:v>8546886.8368371502</c:v>
                </c:pt>
                <c:pt idx="138">
                  <c:v>8567599.9531104192</c:v>
                </c:pt>
                <c:pt idx="139">
                  <c:v>8588046.085968798</c:v>
                </c:pt>
                <c:pt idx="140">
                  <c:v>8608228.0868612155</c:v>
                </c:pt>
                <c:pt idx="141">
                  <c:v>8628148.7888314389</c:v>
                </c:pt>
                <c:pt idx="142">
                  <c:v>8647811.0063864551</c:v>
                </c:pt>
                <c:pt idx="143">
                  <c:v>8667217.5353689324</c:v>
                </c:pt>
                <c:pt idx="144">
                  <c:v>8686371.1528382357</c:v>
                </c:pt>
                <c:pt idx="145">
                  <c:v>8705274.6169557367</c:v>
                </c:pt>
                <c:pt idx="146">
                  <c:v>8723930.6668780018</c:v>
                </c:pt>
                <c:pt idx="147">
                  <c:v>8742342.0226548407</c:v>
                </c:pt>
                <c:pt idx="148">
                  <c:v>8760511.3851340618</c:v>
                </c:pt>
                <c:pt idx="149">
                  <c:v>8778441.4358715378</c:v>
                </c:pt>
                <c:pt idx="150">
                  <c:v>8796134.8370484784</c:v>
                </c:pt>
                <c:pt idx="151">
                  <c:v>8813594.2313921936</c:v>
                </c:pt>
                <c:pt idx="152">
                  <c:v>8830822.2421048377</c:v>
                </c:pt>
                <c:pt idx="153">
                  <c:v>8847821.4727965984</c:v>
                </c:pt>
                <c:pt idx="154">
                  <c:v>8864594.5074238088</c:v>
                </c:pt>
                <c:pt idx="155">
                  <c:v>8881143.910234496</c:v>
                </c:pt>
                <c:pt idx="156">
                  <c:v>8897472.2257165033</c:v>
                </c:pt>
                <c:pt idx="157">
                  <c:v>8913581.978553582</c:v>
                </c:pt>
                <c:pt idx="158">
                  <c:v>8929475.673584247</c:v>
                </c:pt>
                <c:pt idx="159">
                  <c:v>8945155.7957679033</c:v>
                </c:pt>
                <c:pt idx="160">
                  <c:v>8960624.8101536129</c:v>
                </c:pt>
                <c:pt idx="161">
                  <c:v>8975885.1618563402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F3-484A-9A14-403FA1A51B27}"/>
            </c:ext>
          </c:extLst>
        </c:ser>
        <c:ser>
          <c:idx val="1"/>
          <c:order val="1"/>
          <c:tx>
            <c:strRef>
              <c:f>'IOs and POs'!$I$254</c:f>
              <c:strCache>
                <c:ptCount val="1"/>
                <c:pt idx="0">
                  <c:v>PO tranche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'IOs and POs'!$G$256:$G$417</c:f>
              <c:numCache>
                <c:formatCode>0.00%</c:formatCode>
                <c:ptCount val="162"/>
                <c:pt idx="0">
                  <c:v>0.02</c:v>
                </c:pt>
                <c:pt idx="1">
                  <c:v>2.1000000000000001E-2</c:v>
                </c:pt>
                <c:pt idx="2">
                  <c:v>2.1999999999999999E-2</c:v>
                </c:pt>
                <c:pt idx="3">
                  <c:v>2.3E-2</c:v>
                </c:pt>
                <c:pt idx="4">
                  <c:v>2.4E-2</c:v>
                </c:pt>
                <c:pt idx="5">
                  <c:v>2.5000000000000001E-2</c:v>
                </c:pt>
                <c:pt idx="6">
                  <c:v>2.5999999999999999E-2</c:v>
                </c:pt>
                <c:pt idx="7">
                  <c:v>2.7E-2</c:v>
                </c:pt>
                <c:pt idx="8">
                  <c:v>2.8000000000000001E-2</c:v>
                </c:pt>
                <c:pt idx="9">
                  <c:v>2.9000000000000001E-2</c:v>
                </c:pt>
                <c:pt idx="10">
                  <c:v>0.03</c:v>
                </c:pt>
                <c:pt idx="11">
                  <c:v>3.1E-2</c:v>
                </c:pt>
                <c:pt idx="12">
                  <c:v>3.2000000000000001E-2</c:v>
                </c:pt>
                <c:pt idx="13">
                  <c:v>3.3000000000000002E-2</c:v>
                </c:pt>
                <c:pt idx="14">
                  <c:v>3.4000000000000002E-2</c:v>
                </c:pt>
                <c:pt idx="15">
                  <c:v>3.5000000000000003E-2</c:v>
                </c:pt>
                <c:pt idx="16">
                  <c:v>3.5999999999999997E-2</c:v>
                </c:pt>
                <c:pt idx="17">
                  <c:v>3.6999999999999998E-2</c:v>
                </c:pt>
                <c:pt idx="18">
                  <c:v>3.7999999999999999E-2</c:v>
                </c:pt>
                <c:pt idx="19">
                  <c:v>3.9E-2</c:v>
                </c:pt>
                <c:pt idx="20">
                  <c:v>0.04</c:v>
                </c:pt>
                <c:pt idx="21">
                  <c:v>4.1000000000000002E-2</c:v>
                </c:pt>
                <c:pt idx="22">
                  <c:v>4.2000000000000003E-2</c:v>
                </c:pt>
                <c:pt idx="23">
                  <c:v>4.2999999999999997E-2</c:v>
                </c:pt>
                <c:pt idx="24">
                  <c:v>4.3999999999999997E-2</c:v>
                </c:pt>
                <c:pt idx="25">
                  <c:v>4.4999999999999998E-2</c:v>
                </c:pt>
                <c:pt idx="26">
                  <c:v>4.5999999999999999E-2</c:v>
                </c:pt>
                <c:pt idx="27">
                  <c:v>4.7E-2</c:v>
                </c:pt>
                <c:pt idx="28">
                  <c:v>4.8000000000000001E-2</c:v>
                </c:pt>
                <c:pt idx="29">
                  <c:v>4.9000000000000002E-2</c:v>
                </c:pt>
                <c:pt idx="30">
                  <c:v>0.05</c:v>
                </c:pt>
                <c:pt idx="31">
                  <c:v>5.0999999999999997E-2</c:v>
                </c:pt>
                <c:pt idx="32">
                  <c:v>5.1999999999999998E-2</c:v>
                </c:pt>
                <c:pt idx="33">
                  <c:v>5.2999999999999999E-2</c:v>
                </c:pt>
                <c:pt idx="34">
                  <c:v>5.3999999999999999E-2</c:v>
                </c:pt>
                <c:pt idx="35">
                  <c:v>5.5E-2</c:v>
                </c:pt>
                <c:pt idx="36">
                  <c:v>5.6000000000000001E-2</c:v>
                </c:pt>
                <c:pt idx="37">
                  <c:v>5.7000000000000002E-2</c:v>
                </c:pt>
                <c:pt idx="38">
                  <c:v>5.8000000000000003E-2</c:v>
                </c:pt>
                <c:pt idx="39">
                  <c:v>5.8999999999999997E-2</c:v>
                </c:pt>
                <c:pt idx="40">
                  <c:v>0.06</c:v>
                </c:pt>
                <c:pt idx="41">
                  <c:v>6.0999999999999999E-2</c:v>
                </c:pt>
                <c:pt idx="42">
                  <c:v>6.2E-2</c:v>
                </c:pt>
                <c:pt idx="43">
                  <c:v>6.3E-2</c:v>
                </c:pt>
                <c:pt idx="44">
                  <c:v>6.4000000000000001E-2</c:v>
                </c:pt>
                <c:pt idx="45">
                  <c:v>6.5000000000000002E-2</c:v>
                </c:pt>
                <c:pt idx="46">
                  <c:v>6.6000000000000003E-2</c:v>
                </c:pt>
                <c:pt idx="47">
                  <c:v>6.7000000000000004E-2</c:v>
                </c:pt>
                <c:pt idx="48">
                  <c:v>6.8000000000000005E-2</c:v>
                </c:pt>
                <c:pt idx="49">
                  <c:v>6.9000000000000006E-2</c:v>
                </c:pt>
                <c:pt idx="50">
                  <c:v>7.0000000000000007E-2</c:v>
                </c:pt>
                <c:pt idx="51">
                  <c:v>7.0999999999999994E-2</c:v>
                </c:pt>
                <c:pt idx="52">
                  <c:v>7.1999999999999995E-2</c:v>
                </c:pt>
                <c:pt idx="53">
                  <c:v>7.2999999999999995E-2</c:v>
                </c:pt>
                <c:pt idx="54">
                  <c:v>7.3999999999999996E-2</c:v>
                </c:pt>
                <c:pt idx="55">
                  <c:v>7.4999999999999997E-2</c:v>
                </c:pt>
                <c:pt idx="56">
                  <c:v>7.5999999999999998E-2</c:v>
                </c:pt>
                <c:pt idx="57">
                  <c:v>7.6999999999999999E-2</c:v>
                </c:pt>
                <c:pt idx="58">
                  <c:v>7.8E-2</c:v>
                </c:pt>
                <c:pt idx="59">
                  <c:v>7.9000000000000001E-2</c:v>
                </c:pt>
                <c:pt idx="60">
                  <c:v>0.08</c:v>
                </c:pt>
                <c:pt idx="61">
                  <c:v>8.1000000000000003E-2</c:v>
                </c:pt>
                <c:pt idx="62">
                  <c:v>8.2000000000000003E-2</c:v>
                </c:pt>
                <c:pt idx="63">
                  <c:v>8.3000000000000004E-2</c:v>
                </c:pt>
                <c:pt idx="64">
                  <c:v>8.4000000000000005E-2</c:v>
                </c:pt>
                <c:pt idx="65">
                  <c:v>8.5000000000000006E-2</c:v>
                </c:pt>
                <c:pt idx="66">
                  <c:v>8.5999999999999993E-2</c:v>
                </c:pt>
                <c:pt idx="67">
                  <c:v>8.6999999999999994E-2</c:v>
                </c:pt>
                <c:pt idx="68">
                  <c:v>8.7999999999999995E-2</c:v>
                </c:pt>
                <c:pt idx="69">
                  <c:v>8.8999999999999996E-2</c:v>
                </c:pt>
                <c:pt idx="70">
                  <c:v>0.09</c:v>
                </c:pt>
                <c:pt idx="71">
                  <c:v>9.01E-2</c:v>
                </c:pt>
                <c:pt idx="72">
                  <c:v>9.0999999999999998E-2</c:v>
                </c:pt>
                <c:pt idx="73">
                  <c:v>9.1999999999999998E-2</c:v>
                </c:pt>
                <c:pt idx="74">
                  <c:v>9.2999999999999999E-2</c:v>
                </c:pt>
                <c:pt idx="75">
                  <c:v>9.4E-2</c:v>
                </c:pt>
                <c:pt idx="76">
                  <c:v>9.5000000000000001E-2</c:v>
                </c:pt>
                <c:pt idx="77">
                  <c:v>9.6000000000000002E-2</c:v>
                </c:pt>
                <c:pt idx="78">
                  <c:v>9.7000000000000003E-2</c:v>
                </c:pt>
                <c:pt idx="79">
                  <c:v>9.8000000000000004E-2</c:v>
                </c:pt>
                <c:pt idx="80">
                  <c:v>9.9000000000000005E-2</c:v>
                </c:pt>
                <c:pt idx="81">
                  <c:v>0.1</c:v>
                </c:pt>
                <c:pt idx="82">
                  <c:v>0.10100000000000001</c:v>
                </c:pt>
                <c:pt idx="83">
                  <c:v>0.10199999999999999</c:v>
                </c:pt>
                <c:pt idx="84">
                  <c:v>0.10299999999999999</c:v>
                </c:pt>
                <c:pt idx="85">
                  <c:v>0.104</c:v>
                </c:pt>
                <c:pt idx="86">
                  <c:v>0.105</c:v>
                </c:pt>
                <c:pt idx="87">
                  <c:v>0.106</c:v>
                </c:pt>
                <c:pt idx="88">
                  <c:v>0.107</c:v>
                </c:pt>
                <c:pt idx="89">
                  <c:v>0.108</c:v>
                </c:pt>
                <c:pt idx="90">
                  <c:v>0.109</c:v>
                </c:pt>
                <c:pt idx="91">
                  <c:v>0.11</c:v>
                </c:pt>
                <c:pt idx="92">
                  <c:v>0.111</c:v>
                </c:pt>
                <c:pt idx="93">
                  <c:v>0.112</c:v>
                </c:pt>
                <c:pt idx="94">
                  <c:v>0.113</c:v>
                </c:pt>
                <c:pt idx="95">
                  <c:v>0.114</c:v>
                </c:pt>
                <c:pt idx="96">
                  <c:v>0.115</c:v>
                </c:pt>
                <c:pt idx="97">
                  <c:v>0.11600000000000001</c:v>
                </c:pt>
                <c:pt idx="98">
                  <c:v>0.11700000000000001</c:v>
                </c:pt>
                <c:pt idx="99">
                  <c:v>0.11799999999999999</c:v>
                </c:pt>
                <c:pt idx="100">
                  <c:v>0.11899999999999999</c:v>
                </c:pt>
                <c:pt idx="101">
                  <c:v>0.12</c:v>
                </c:pt>
                <c:pt idx="102">
                  <c:v>0.121</c:v>
                </c:pt>
                <c:pt idx="103">
                  <c:v>0.122</c:v>
                </c:pt>
                <c:pt idx="104">
                  <c:v>0.123</c:v>
                </c:pt>
                <c:pt idx="105">
                  <c:v>0.124</c:v>
                </c:pt>
                <c:pt idx="106">
                  <c:v>0.125</c:v>
                </c:pt>
                <c:pt idx="107">
                  <c:v>0.126</c:v>
                </c:pt>
                <c:pt idx="108">
                  <c:v>0.127</c:v>
                </c:pt>
                <c:pt idx="109">
                  <c:v>0.128</c:v>
                </c:pt>
                <c:pt idx="110">
                  <c:v>0.129</c:v>
                </c:pt>
                <c:pt idx="111">
                  <c:v>0.13</c:v>
                </c:pt>
                <c:pt idx="112">
                  <c:v>0.13100000000000001</c:v>
                </c:pt>
                <c:pt idx="113">
                  <c:v>0.13200000000000001</c:v>
                </c:pt>
                <c:pt idx="114">
                  <c:v>0.13300000000000001</c:v>
                </c:pt>
                <c:pt idx="115">
                  <c:v>0.13400000000000001</c:v>
                </c:pt>
                <c:pt idx="116">
                  <c:v>0.13500000000000001</c:v>
                </c:pt>
                <c:pt idx="117">
                  <c:v>0.13600000000000001</c:v>
                </c:pt>
                <c:pt idx="118">
                  <c:v>0.13700000000000001</c:v>
                </c:pt>
                <c:pt idx="119">
                  <c:v>0.13800000000000001</c:v>
                </c:pt>
                <c:pt idx="120">
                  <c:v>0.13900000000000001</c:v>
                </c:pt>
                <c:pt idx="121">
                  <c:v>0.14000000000000001</c:v>
                </c:pt>
                <c:pt idx="122">
                  <c:v>0.14099999999999999</c:v>
                </c:pt>
                <c:pt idx="123">
                  <c:v>0.14199999999999999</c:v>
                </c:pt>
                <c:pt idx="124">
                  <c:v>0.14299999999999999</c:v>
                </c:pt>
                <c:pt idx="125">
                  <c:v>0.14399999999999999</c:v>
                </c:pt>
                <c:pt idx="126">
                  <c:v>0.14499999999999999</c:v>
                </c:pt>
                <c:pt idx="127">
                  <c:v>0.14599999999999999</c:v>
                </c:pt>
                <c:pt idx="128">
                  <c:v>0.14699999999999999</c:v>
                </c:pt>
                <c:pt idx="129">
                  <c:v>0.14799999999999999</c:v>
                </c:pt>
                <c:pt idx="130">
                  <c:v>0.14899999999999999</c:v>
                </c:pt>
                <c:pt idx="131">
                  <c:v>0.15</c:v>
                </c:pt>
                <c:pt idx="132">
                  <c:v>0.151</c:v>
                </c:pt>
                <c:pt idx="133">
                  <c:v>0.152</c:v>
                </c:pt>
                <c:pt idx="134">
                  <c:v>0.153</c:v>
                </c:pt>
                <c:pt idx="135">
                  <c:v>0.154</c:v>
                </c:pt>
                <c:pt idx="136">
                  <c:v>0.155</c:v>
                </c:pt>
                <c:pt idx="137">
                  <c:v>0.156</c:v>
                </c:pt>
                <c:pt idx="138">
                  <c:v>0.157</c:v>
                </c:pt>
                <c:pt idx="139">
                  <c:v>0.158</c:v>
                </c:pt>
                <c:pt idx="140">
                  <c:v>0.159</c:v>
                </c:pt>
                <c:pt idx="141">
                  <c:v>0.16</c:v>
                </c:pt>
                <c:pt idx="142">
                  <c:v>0.161</c:v>
                </c:pt>
                <c:pt idx="143">
                  <c:v>0.16200000000000001</c:v>
                </c:pt>
                <c:pt idx="144">
                  <c:v>0.16300000000000001</c:v>
                </c:pt>
                <c:pt idx="145">
                  <c:v>0.16400000000000001</c:v>
                </c:pt>
                <c:pt idx="146">
                  <c:v>0.16500000000000001</c:v>
                </c:pt>
                <c:pt idx="147">
                  <c:v>0.16600000000000001</c:v>
                </c:pt>
                <c:pt idx="148">
                  <c:v>0.16700000000000001</c:v>
                </c:pt>
                <c:pt idx="149">
                  <c:v>0.16800000000000001</c:v>
                </c:pt>
                <c:pt idx="150">
                  <c:v>0.16900000000000001</c:v>
                </c:pt>
                <c:pt idx="151">
                  <c:v>0.17</c:v>
                </c:pt>
                <c:pt idx="152">
                  <c:v>0.17100000000000001</c:v>
                </c:pt>
                <c:pt idx="153">
                  <c:v>0.17199999999999999</c:v>
                </c:pt>
                <c:pt idx="154">
                  <c:v>0.17299999999999999</c:v>
                </c:pt>
                <c:pt idx="155">
                  <c:v>0.17399999999999999</c:v>
                </c:pt>
                <c:pt idx="156">
                  <c:v>0.17499999999999999</c:v>
                </c:pt>
                <c:pt idx="157">
                  <c:v>0.17599999999999999</c:v>
                </c:pt>
                <c:pt idx="158">
                  <c:v>0.17699999999999999</c:v>
                </c:pt>
                <c:pt idx="159">
                  <c:v>0.17799999999999999</c:v>
                </c:pt>
                <c:pt idx="160">
                  <c:v>0.17899999999999999</c:v>
                </c:pt>
                <c:pt idx="161">
                  <c:v>0.18</c:v>
                </c:pt>
              </c:numCache>
            </c:numRef>
          </c:xVal>
          <c:yVal>
            <c:numRef>
              <c:f>'IOs and POs'!$I$256:$I$417</c:f>
              <c:numCache>
                <c:formatCode>"₹"#,##0.00_);[Red]\("₹"#,##0.00\)</c:formatCode>
                <c:ptCount val="162"/>
                <c:pt idx="0">
                  <c:v>8127653.9511641068</c:v>
                </c:pt>
                <c:pt idx="1">
                  <c:v>8041117.7703925911</c:v>
                </c:pt>
                <c:pt idx="2">
                  <c:v>7955248.1084684767</c:v>
                </c:pt>
                <c:pt idx="3">
                  <c:v>7870043.6042075064</c:v>
                </c:pt>
                <c:pt idx="4">
                  <c:v>7785502.8479582667</c:v>
                </c:pt>
                <c:pt idx="5">
                  <c:v>7701624.3819776168</c:v>
                </c:pt>
                <c:pt idx="6">
                  <c:v>7618406.7008167403</c:v>
                </c:pt>
                <c:pt idx="7">
                  <c:v>7535848.2517183712</c:v>
                </c:pt>
                <c:pt idx="8">
                  <c:v>7453947.4350294461</c:v>
                </c:pt>
                <c:pt idx="9">
                  <c:v>7372702.6046207547</c:v>
                </c:pt>
                <c:pt idx="10">
                  <c:v>7292112.0683231307</c:v>
                </c:pt>
                <c:pt idx="11">
                  <c:v>7212174.0883701518</c:v>
                </c:pt>
                <c:pt idx="12">
                  <c:v>7132886.8818559572</c:v>
                </c:pt>
                <c:pt idx="13">
                  <c:v>7054248.6212007869</c:v>
                </c:pt>
                <c:pt idx="14">
                  <c:v>6976257.4346295428</c:v>
                </c:pt>
                <c:pt idx="15">
                  <c:v>6898911.4066581307</c:v>
                </c:pt>
                <c:pt idx="16">
                  <c:v>6822208.5785927307</c:v>
                </c:pt>
                <c:pt idx="17">
                  <c:v>6746146.9490357218</c:v>
                </c:pt>
                <c:pt idx="18">
                  <c:v>6670724.4744044542</c:v>
                </c:pt>
                <c:pt idx="19">
                  <c:v>6595939.0694569042</c:v>
                </c:pt>
                <c:pt idx="20">
                  <c:v>6521788.6078265356</c:v>
                </c:pt>
                <c:pt idx="21">
                  <c:v>6448270.9225678071</c:v>
                </c:pt>
                <c:pt idx="22">
                  <c:v>6375383.8067074316</c:v>
                </c:pt>
                <c:pt idx="23">
                  <c:v>6303125.0138065144</c:v>
                </c:pt>
                <c:pt idx="24">
                  <c:v>6231492.258528023</c:v>
                </c:pt>
                <c:pt idx="25">
                  <c:v>6160483.2172145676</c:v>
                </c:pt>
                <c:pt idx="26">
                  <c:v>6090095.5284710778</c:v>
                </c:pt>
                <c:pt idx="27">
                  <c:v>6020326.7937561274</c:v>
                </c:pt>
                <c:pt idx="28">
                  <c:v>5951174.5779795088</c:v>
                </c:pt>
                <c:pt idx="29">
                  <c:v>5882636.4101063004</c:v>
                </c:pt>
                <c:pt idx="30">
                  <c:v>5814709.7837673929</c:v>
                </c:pt>
                <c:pt idx="31">
                  <c:v>5747392.1578750974</c:v>
                </c:pt>
                <c:pt idx="32">
                  <c:v>5680680.9572458398</c:v>
                </c:pt>
                <c:pt idx="33">
                  <c:v>5614573.573226816</c:v>
                </c:pt>
                <c:pt idx="34">
                  <c:v>5549067.3643285288</c:v>
                </c:pt>
                <c:pt idx="35">
                  <c:v>5484159.6568611059</c:v>
                </c:pt>
                <c:pt idx="36">
                  <c:v>5419847.7455770755</c:v>
                </c:pt>
                <c:pt idx="37">
                  <c:v>5356128.8943154216</c:v>
                </c:pt>
                <c:pt idx="38">
                  <c:v>5293000.3366525108</c:v>
                </c:pt>
                <c:pt idx="39">
                  <c:v>5230459.2765536159</c:v>
                </c:pt>
                <c:pt idx="40">
                  <c:v>5168502.8890308822</c:v>
                </c:pt>
                <c:pt idx="41">
                  <c:v>5107128.3208012693</c:v>
                </c:pt>
                <c:pt idx="42">
                  <c:v>5046332.6909496933</c:v>
                </c:pt>
                <c:pt idx="43">
                  <c:v>4986113.091593137</c:v>
                </c:pt>
                <c:pt idx="44">
                  <c:v>4926466.5885466384</c:v>
                </c:pt>
                <c:pt idx="45">
                  <c:v>4867390.2219932294</c:v>
                </c:pt>
                <c:pt idx="46">
                  <c:v>4808881.0071524289</c:v>
                </c:pt>
                <c:pt idx="47">
                  <c:v>4750935.934953019</c:v>
                </c:pt>
                <c:pt idx="48">
                  <c:v>4693551.9727043863</c:v>
                </c:pt>
                <c:pt idx="49">
                  <c:v>4636726.0647703568</c:v>
                </c:pt>
                <c:pt idx="50">
                  <c:v>4580455.1332423883</c:v>
                </c:pt>
                <c:pt idx="51">
                  <c:v>4524736.0786139974</c:v>
                </c:pt>
                <c:pt idx="52">
                  <c:v>4469565.7804535339</c:v>
                </c:pt>
                <c:pt idx="53">
                  <c:v>4414941.0980788944</c:v>
                </c:pt>
                <c:pt idx="54">
                  <c:v>4360858.8712295638</c:v>
                </c:pt>
                <c:pt idx="55">
                  <c:v>4307315.9207387203</c:v>
                </c:pt>
                <c:pt idx="56">
                  <c:v>4254309.0492046159</c:v>
                </c:pt>
                <c:pt idx="57">
                  <c:v>4201835.0416595805</c:v>
                </c:pt>
                <c:pt idx="58">
                  <c:v>4149890.6662389562</c:v>
                </c:pt>
                <c:pt idx="59">
                  <c:v>4098472.6748460736</c:v>
                </c:pt>
                <c:pt idx="60">
                  <c:v>4047577.8038176959</c:v>
                </c:pt>
                <c:pt idx="61">
                  <c:v>3997202.7745847227</c:v>
                </c:pt>
                <c:pt idx="62">
                  <c:v>3947344.2943324344</c:v>
                </c:pt>
                <c:pt idx="63">
                  <c:v>3897999.0566562037</c:v>
                </c:pt>
                <c:pt idx="64">
                  <c:v>3849163.7422159091</c:v>
                </c:pt>
                <c:pt idx="65">
                  <c:v>3800835.0193854733</c:v>
                </c:pt>
                <c:pt idx="66">
                  <c:v>3753009.5449007382</c:v>
                </c:pt>
                <c:pt idx="67">
                  <c:v>3705683.964502058</c:v>
                </c:pt>
                <c:pt idx="68">
                  <c:v>3658854.9135741936</c:v>
                </c:pt>
                <c:pt idx="69">
                  <c:v>3612519.0177820502</c:v>
                </c:pt>
                <c:pt idx="70">
                  <c:v>3566672.8937013447</c:v>
                </c:pt>
                <c:pt idx="71">
                  <c:v>3562115.0882198652</c:v>
                </c:pt>
                <c:pt idx="72">
                  <c:v>3521313.1494465508</c:v>
                </c:pt>
                <c:pt idx="73">
                  <c:v>3476436.3852920742</c:v>
                </c:pt>
                <c:pt idx="74">
                  <c:v>3432039.1942910464</c:v>
                </c:pt>
                <c:pt idx="75">
                  <c:v>3388118.1628868296</c:v>
                </c:pt>
                <c:pt idx="76">
                  <c:v>3344669.8715215945</c:v>
                </c:pt>
                <c:pt idx="77">
                  <c:v>3301690.8952377685</c:v>
                </c:pt>
                <c:pt idx="78">
                  <c:v>3259177.8042755821</c:v>
                </c:pt>
                <c:pt idx="79">
                  <c:v>3217127.1646639374</c:v>
                </c:pt>
                <c:pt idx="80">
                  <c:v>3175535.5388059728</c:v>
                </c:pt>
                <c:pt idx="81">
                  <c:v>3134399.4860590287</c:v>
                </c:pt>
                <c:pt idx="82">
                  <c:v>3093715.5633079363</c:v>
                </c:pt>
                <c:pt idx="83">
                  <c:v>3053480.3255330301</c:v>
                </c:pt>
                <c:pt idx="84">
                  <c:v>3013690.3263708018</c:v>
                </c:pt>
                <c:pt idx="85">
                  <c:v>2974342.1186693385</c:v>
                </c:pt>
                <c:pt idx="86">
                  <c:v>2935432.2550362884</c:v>
                </c:pt>
                <c:pt idx="87">
                  <c:v>2896957.2883808576</c:v>
                </c:pt>
                <c:pt idx="88">
                  <c:v>2858913.7724484443</c:v>
                </c:pt>
                <c:pt idx="89">
                  <c:v>2821298.2623491935</c:v>
                </c:pt>
                <c:pt idx="90">
                  <c:v>2784107.3150789212</c:v>
                </c:pt>
                <c:pt idx="91">
                  <c:v>2747337.4900333388</c:v>
                </c:pt>
                <c:pt idx="92">
                  <c:v>2710985.3495155289</c:v>
                </c:pt>
                <c:pt idx="93">
                  <c:v>2675047.4592350111</c:v>
                </c:pt>
                <c:pt idx="94">
                  <c:v>2639520.3888012143</c:v>
                </c:pt>
                <c:pt idx="95">
                  <c:v>2604400.7122080671</c:v>
                </c:pt>
                <c:pt idx="96">
                  <c:v>2569685.0083123036</c:v>
                </c:pt>
                <c:pt idx="97">
                  <c:v>2535369.8613034277</c:v>
                </c:pt>
                <c:pt idx="98">
                  <c:v>2501451.8611669135</c:v>
                </c:pt>
                <c:pt idx="99">
                  <c:v>2467927.6041390472</c:v>
                </c:pt>
                <c:pt idx="100">
                  <c:v>2434793.6931548645</c:v>
                </c:pt>
                <c:pt idx="101">
                  <c:v>2402046.7382877693</c:v>
                </c:pt>
                <c:pt idx="102">
                  <c:v>2369683.357181882</c:v>
                </c:pt>
                <c:pt idx="103">
                  <c:v>2337700.1754761655</c:v>
                </c:pt>
                <c:pt idx="104">
                  <c:v>2306093.8272216264</c:v>
                </c:pt>
                <c:pt idx="105">
                  <c:v>2274860.9552894845</c:v>
                </c:pt>
                <c:pt idx="106">
                  <c:v>2243998.2117722388</c:v>
                </c:pt>
                <c:pt idx="107">
                  <c:v>2213502.2583771106</c:v>
                </c:pt>
                <c:pt idx="108">
                  <c:v>2183369.7668109038</c:v>
                </c:pt>
                <c:pt idx="109">
                  <c:v>2153597.4191574394</c:v>
                </c:pt>
                <c:pt idx="110">
                  <c:v>2124181.9082468585</c:v>
                </c:pt>
                <c:pt idx="111">
                  <c:v>2095119.9380174433</c:v>
                </c:pt>
                <c:pt idx="112">
                  <c:v>2066408.2238688692</c:v>
                </c:pt>
                <c:pt idx="113">
                  <c:v>2038043.4930082569</c:v>
                </c:pt>
                <c:pt idx="114">
                  <c:v>2010022.4847878371</c:v>
                </c:pt>
                <c:pt idx="115">
                  <c:v>1982341.9510349589</c:v>
                </c:pt>
                <c:pt idx="116">
                  <c:v>1954998.656374407</c:v>
                </c:pt>
                <c:pt idx="117">
                  <c:v>1927989.3785423236</c:v>
                </c:pt>
                <c:pt idx="118">
                  <c:v>1901310.9086931678</c:v>
                </c:pt>
                <c:pt idx="119">
                  <c:v>1874960.0516978363</c:v>
                </c:pt>
                <c:pt idx="120">
                  <c:v>1848933.6264352219</c:v>
                </c:pt>
                <c:pt idx="121">
                  <c:v>1823228.4660748555</c:v>
                </c:pt>
                <c:pt idx="122">
                  <c:v>1797841.4183528342</c:v>
                </c:pt>
                <c:pt idx="123">
                  <c:v>1772769.345839357</c:v>
                </c:pt>
                <c:pt idx="124">
                  <c:v>1748009.1261992611</c:v>
                </c:pt>
                <c:pt idx="125">
                  <c:v>1723557.6524444318</c:v>
                </c:pt>
                <c:pt idx="126">
                  <c:v>1699411.833179136</c:v>
                </c:pt>
                <c:pt idx="127">
                  <c:v>1675568.5928374531</c:v>
                </c:pt>
                <c:pt idx="128">
                  <c:v>1652024.871913888</c:v>
                </c:pt>
                <c:pt idx="129">
                  <c:v>1628777.6271858884</c:v>
                </c:pt>
                <c:pt idx="130">
                  <c:v>1605823.8319294858</c:v>
                </c:pt>
                <c:pt idx="131">
                  <c:v>1583160.4761277074</c:v>
                </c:pt>
                <c:pt idx="132">
                  <c:v>1560784.5666714695</c:v>
                </c:pt>
                <c:pt idx="133">
                  <c:v>1538693.1275537622</c:v>
                </c:pt>
                <c:pt idx="134">
                  <c:v>1516883.2000562281</c:v>
                </c:pt>
                <c:pt idx="135">
                  <c:v>1495351.8429293239</c:v>
                </c:pt>
                <c:pt idx="136">
                  <c:v>1474096.1325649538</c:v>
                </c:pt>
                <c:pt idx="137">
                  <c:v>1453113.1631628796</c:v>
                </c:pt>
                <c:pt idx="138">
                  <c:v>1432400.0468895775</c:v>
                </c:pt>
                <c:pt idx="139">
                  <c:v>1411953.9140311147</c:v>
                </c:pt>
                <c:pt idx="140">
                  <c:v>1391771.9131388087</c:v>
                </c:pt>
                <c:pt idx="141">
                  <c:v>1371851.2111684927</c:v>
                </c:pt>
                <c:pt idx="142">
                  <c:v>1352188.9936135805</c:v>
                </c:pt>
                <c:pt idx="143">
                  <c:v>1332782.4646310348</c:v>
                </c:pt>
                <c:pt idx="144">
                  <c:v>1313628.8471618309</c:v>
                </c:pt>
                <c:pt idx="145">
                  <c:v>1294725.3830442573</c:v>
                </c:pt>
                <c:pt idx="146">
                  <c:v>1276069.3331220138</c:v>
                </c:pt>
                <c:pt idx="147">
                  <c:v>1257657.9773451688</c:v>
                </c:pt>
                <c:pt idx="148">
                  <c:v>1239488.6148660267</c:v>
                </c:pt>
                <c:pt idx="149">
                  <c:v>1221558.5641284175</c:v>
                </c:pt>
                <c:pt idx="150">
                  <c:v>1203865.1629515751</c:v>
                </c:pt>
                <c:pt idx="151">
                  <c:v>1186405.7686078455</c:v>
                </c:pt>
                <c:pt idx="152">
                  <c:v>1169177.757895095</c:v>
                </c:pt>
                <c:pt idx="153">
                  <c:v>1152178.5272034437</c:v>
                </c:pt>
                <c:pt idx="154">
                  <c:v>1135405.492576112</c:v>
                </c:pt>
                <c:pt idx="155">
                  <c:v>1118856.089765494</c:v>
                </c:pt>
                <c:pt idx="156">
                  <c:v>1102527.7742834154</c:v>
                </c:pt>
                <c:pt idx="157">
                  <c:v>1086418.0214464655</c:v>
                </c:pt>
                <c:pt idx="158">
                  <c:v>1070524.3264157167</c:v>
                </c:pt>
                <c:pt idx="159">
                  <c:v>1054844.2042321733</c:v>
                </c:pt>
                <c:pt idx="160">
                  <c:v>1039375.1898463789</c:v>
                </c:pt>
                <c:pt idx="161">
                  <c:v>1024114.8381437445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F3-484A-9A14-403FA1A51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515183"/>
        <c:axId val="1920580367"/>
      </c:scatterChart>
      <c:valAx>
        <c:axId val="153451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1920580367"/>
        <c:crosses val="autoZero"/>
        <c:crossBetween val="midCat"/>
      </c:valAx>
      <c:valAx>
        <c:axId val="19205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_);[Red]\(&quot;₹&quot;#,##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1534515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255</xdr:row>
      <xdr:rowOff>0</xdr:rowOff>
    </xdr:from>
    <xdr:to>
      <xdr:col>14</xdr:col>
      <xdr:colOff>323850</xdr:colOff>
      <xdr:row>271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F27669-322B-4700-B7C5-4881B5ADD3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71ADE-4570-4A5C-8E2F-1A6D0813A8D2}">
  <dimension ref="A1:J417"/>
  <sheetViews>
    <sheetView tabSelected="1" topLeftCell="B1" workbookViewId="0">
      <pane ySplit="5" topLeftCell="A247" activePane="bottomLeft" state="frozen"/>
      <selection pane="bottomLeft" activeCell="I266" sqref="I266"/>
    </sheetView>
  </sheetViews>
  <sheetFormatPr defaultRowHeight="13.5" x14ac:dyDescent="0.35"/>
  <cols>
    <col min="1" max="1" width="15.8984375" bestFit="1" customWidth="1"/>
    <col min="2" max="2" width="15.69921875" customWidth="1"/>
    <col min="3" max="5" width="16.69921875" customWidth="1"/>
    <col min="6" max="6" width="12.3984375" bestFit="1" customWidth="1"/>
    <col min="7" max="7" width="15.3984375" bestFit="1" customWidth="1"/>
    <col min="8" max="8" width="17.296875" bestFit="1" customWidth="1"/>
    <col min="9" max="9" width="18.69921875" customWidth="1"/>
    <col min="10" max="10" width="17.296875" bestFit="1" customWidth="1"/>
    <col min="11" max="25" width="12.3984375" bestFit="1" customWidth="1"/>
    <col min="26" max="26" width="2.69921875" customWidth="1"/>
    <col min="27" max="27" width="12.3984375" bestFit="1" customWidth="1"/>
  </cols>
  <sheetData>
    <row r="1" spans="1:10" x14ac:dyDescent="0.35">
      <c r="A1" s="14" t="s">
        <v>0</v>
      </c>
      <c r="B1" s="16">
        <v>45292</v>
      </c>
    </row>
    <row r="2" spans="1:10" x14ac:dyDescent="0.35">
      <c r="A2" s="14" t="s">
        <v>1</v>
      </c>
      <c r="B2" s="15">
        <v>0.09</v>
      </c>
    </row>
    <row r="3" spans="1:10" x14ac:dyDescent="0.35">
      <c r="A3" s="14" t="s">
        <v>2</v>
      </c>
      <c r="B3" s="3">
        <v>240</v>
      </c>
    </row>
    <row r="4" spans="1:10" x14ac:dyDescent="0.35">
      <c r="A4" s="14" t="s">
        <v>3</v>
      </c>
      <c r="B4" s="13">
        <v>10000000</v>
      </c>
    </row>
    <row r="5" spans="1:10" x14ac:dyDescent="0.35">
      <c r="A5" s="12" t="s">
        <v>4</v>
      </c>
      <c r="B5" s="11">
        <f>PMT(B2/12,B3,-B4,0,0)</f>
        <v>89972.595585017305</v>
      </c>
    </row>
    <row r="6" spans="1:10" ht="15.5" x14ac:dyDescent="0.35">
      <c r="A6" s="10" t="s">
        <v>5</v>
      </c>
      <c r="B6" s="9" t="s">
        <v>0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  <c r="H6" s="3" t="s">
        <v>11</v>
      </c>
      <c r="I6" s="3" t="s">
        <v>12</v>
      </c>
      <c r="J6" s="3" t="s">
        <v>13</v>
      </c>
    </row>
    <row r="7" spans="1:10" x14ac:dyDescent="0.35">
      <c r="A7" s="3">
        <v>1</v>
      </c>
      <c r="B7" s="8">
        <f t="shared" ref="B7:B70" si="0">EDATE($B$1,$A7)</f>
        <v>45323</v>
      </c>
      <c r="C7" s="1">
        <f>B2/12*B4</f>
        <v>75000</v>
      </c>
      <c r="D7" s="1">
        <f>B5-C7</f>
        <v>14972.595585017305</v>
      </c>
      <c r="E7" s="1">
        <f>B4-D7</f>
        <v>9985027.4044149835</v>
      </c>
      <c r="F7" s="7">
        <f t="shared" ref="F7:F70" si="1">POWER(1+$B$2/12,-$A7)</f>
        <v>0.99255583126550861</v>
      </c>
      <c r="G7" s="1">
        <f t="shared" ref="G7:G70" si="2">$F7*$C7</f>
        <v>74441.687344913153</v>
      </c>
      <c r="H7" s="2">
        <f t="shared" ref="H7:H70" si="3">$A7/12*G7</f>
        <v>6203.4739454094288</v>
      </c>
      <c r="I7" s="1">
        <f t="shared" ref="I7:I70" si="4">$F7*$D7</f>
        <v>14861.137057089136</v>
      </c>
      <c r="J7" s="2">
        <f t="shared" ref="J7:J70" si="5">$A7/12*I7</f>
        <v>1238.4280880907613</v>
      </c>
    </row>
    <row r="8" spans="1:10" x14ac:dyDescent="0.35">
      <c r="A8" s="3">
        <v>2</v>
      </c>
      <c r="B8" s="8">
        <f t="shared" si="0"/>
        <v>45352</v>
      </c>
      <c r="C8" s="1">
        <f t="shared" ref="C8:C71" si="6">$B$2/12*E7</f>
        <v>74887.70553311237</v>
      </c>
      <c r="D8" s="1">
        <f t="shared" ref="D8:D71" si="7">$B$5-C8</f>
        <v>15084.890051904935</v>
      </c>
      <c r="E8" s="1">
        <f t="shared" ref="E8:E71" si="8">E7-D8</f>
        <v>9969942.5143630784</v>
      </c>
      <c r="F8" s="7">
        <f t="shared" si="1"/>
        <v>0.98516707817916471</v>
      </c>
      <c r="G8" s="1">
        <f t="shared" si="2"/>
        <v>73776.902051597979</v>
      </c>
      <c r="H8" s="2">
        <f t="shared" si="3"/>
        <v>12296.150341932997</v>
      </c>
      <c r="I8" s="1">
        <f t="shared" si="4"/>
        <v>14861.137057089132</v>
      </c>
      <c r="J8" s="2">
        <f t="shared" si="5"/>
        <v>2476.8561761815217</v>
      </c>
    </row>
    <row r="9" spans="1:10" x14ac:dyDescent="0.35">
      <c r="A9" s="3">
        <v>3</v>
      </c>
      <c r="B9" s="8">
        <f t="shared" si="0"/>
        <v>45383</v>
      </c>
      <c r="C9" s="1">
        <f t="shared" si="6"/>
        <v>74774.56885772309</v>
      </c>
      <c r="D9" s="1">
        <f t="shared" si="7"/>
        <v>15198.026727294215</v>
      </c>
      <c r="E9" s="1">
        <f t="shared" si="8"/>
        <v>9954744.4876357839</v>
      </c>
      <c r="F9" s="7">
        <f t="shared" si="1"/>
        <v>0.97783332821753322</v>
      </c>
      <c r="G9" s="1">
        <f t="shared" si="2"/>
        <v>73117.065532178487</v>
      </c>
      <c r="H9" s="2">
        <f t="shared" si="3"/>
        <v>18279.266383044622</v>
      </c>
      <c r="I9" s="1">
        <f t="shared" si="4"/>
        <v>14861.137057089127</v>
      </c>
      <c r="J9" s="2">
        <f t="shared" si="5"/>
        <v>3715.2842642722817</v>
      </c>
    </row>
    <row r="10" spans="1:10" x14ac:dyDescent="0.35">
      <c r="A10" s="3">
        <v>4</v>
      </c>
      <c r="B10" s="8">
        <f t="shared" si="0"/>
        <v>45413</v>
      </c>
      <c r="C10" s="1">
        <f t="shared" si="6"/>
        <v>74660.583657268377</v>
      </c>
      <c r="D10" s="1">
        <f t="shared" si="7"/>
        <v>15312.011927748928</v>
      </c>
      <c r="E10" s="1">
        <f t="shared" si="8"/>
        <v>9939432.4757080358</v>
      </c>
      <c r="F10" s="7">
        <f t="shared" si="1"/>
        <v>0.97055417192807258</v>
      </c>
      <c r="G10" s="1">
        <f t="shared" si="2"/>
        <v>72462.140947146705</v>
      </c>
      <c r="H10" s="2">
        <f t="shared" si="3"/>
        <v>24154.046982382235</v>
      </c>
      <c r="I10" s="1">
        <f t="shared" si="4"/>
        <v>14861.137057089132</v>
      </c>
      <c r="J10" s="2">
        <f t="shared" si="5"/>
        <v>4953.7123523630435</v>
      </c>
    </row>
    <row r="11" spans="1:10" x14ac:dyDescent="0.35">
      <c r="A11" s="3">
        <v>5</v>
      </c>
      <c r="B11" s="8">
        <f t="shared" si="0"/>
        <v>45444</v>
      </c>
      <c r="C11" s="1">
        <f t="shared" si="6"/>
        <v>74545.743567810263</v>
      </c>
      <c r="D11" s="1">
        <f t="shared" si="7"/>
        <v>15426.852017207042</v>
      </c>
      <c r="E11" s="1">
        <f t="shared" si="8"/>
        <v>9924005.6236908287</v>
      </c>
      <c r="F11" s="7">
        <f t="shared" si="1"/>
        <v>0.96332920290627555</v>
      </c>
      <c r="G11" s="1">
        <f t="shared" si="2"/>
        <v>71812.091731234279</v>
      </c>
      <c r="H11" s="2">
        <f t="shared" si="3"/>
        <v>29921.704888014283</v>
      </c>
      <c r="I11" s="1">
        <f t="shared" si="4"/>
        <v>14861.137057089129</v>
      </c>
      <c r="J11" s="2">
        <f t="shared" si="5"/>
        <v>6192.1404404538034</v>
      </c>
    </row>
    <row r="12" spans="1:10" x14ac:dyDescent="0.35">
      <c r="A12" s="3">
        <v>6</v>
      </c>
      <c r="B12" s="8">
        <f t="shared" si="0"/>
        <v>45474</v>
      </c>
      <c r="C12" s="1">
        <f t="shared" si="6"/>
        <v>74430.042177681215</v>
      </c>
      <c r="D12" s="1">
        <f t="shared" si="7"/>
        <v>15542.55340733609</v>
      </c>
      <c r="E12" s="1">
        <f t="shared" si="8"/>
        <v>9908463.070283493</v>
      </c>
      <c r="F12" s="7">
        <f t="shared" si="1"/>
        <v>0.95615801777297793</v>
      </c>
      <c r="G12" s="1">
        <f t="shared" si="2"/>
        <v>71166.881591370809</v>
      </c>
      <c r="H12" s="2">
        <f t="shared" si="3"/>
        <v>35583.440795685405</v>
      </c>
      <c r="I12" s="1">
        <f t="shared" si="4"/>
        <v>14861.137057089119</v>
      </c>
      <c r="J12" s="2">
        <f t="shared" si="5"/>
        <v>7430.5685285445597</v>
      </c>
    </row>
    <row r="13" spans="1:10" x14ac:dyDescent="0.35">
      <c r="A13" s="3">
        <v>7</v>
      </c>
      <c r="B13" s="8">
        <f t="shared" si="0"/>
        <v>45505</v>
      </c>
      <c r="C13" s="1">
        <f t="shared" si="6"/>
        <v>74313.473027126194</v>
      </c>
      <c r="D13" s="1">
        <f t="shared" si="7"/>
        <v>15659.122557891111</v>
      </c>
      <c r="E13" s="1">
        <f t="shared" si="8"/>
        <v>9892803.9477256015</v>
      </c>
      <c r="F13" s="7">
        <f t="shared" si="1"/>
        <v>0.94904021615183898</v>
      </c>
      <c r="G13" s="1">
        <f t="shared" si="2"/>
        <v>70526.474504657701</v>
      </c>
      <c r="H13" s="2">
        <f t="shared" si="3"/>
        <v>41140.44346105033</v>
      </c>
      <c r="I13" s="1">
        <f t="shared" si="4"/>
        <v>14861.137057089118</v>
      </c>
      <c r="J13" s="2">
        <f t="shared" si="5"/>
        <v>8668.9966166353188</v>
      </c>
    </row>
    <row r="14" spans="1:10" x14ac:dyDescent="0.35">
      <c r="A14" s="3">
        <v>8</v>
      </c>
      <c r="B14" s="8">
        <f t="shared" si="0"/>
        <v>45536</v>
      </c>
      <c r="C14" s="1">
        <f t="shared" si="6"/>
        <v>74196.029607942008</v>
      </c>
      <c r="D14" s="1">
        <f t="shared" si="7"/>
        <v>15776.565977075297</v>
      </c>
      <c r="E14" s="1">
        <f t="shared" si="8"/>
        <v>9877027.3817485254</v>
      </c>
      <c r="F14" s="7">
        <f t="shared" si="1"/>
        <v>0.94197540064698659</v>
      </c>
      <c r="G14" s="1">
        <f t="shared" si="2"/>
        <v>69890.834716356854</v>
      </c>
      <c r="H14" s="2">
        <f t="shared" si="3"/>
        <v>46593.889810904569</v>
      </c>
      <c r="I14" s="1">
        <f t="shared" si="4"/>
        <v>14861.137057089121</v>
      </c>
      <c r="J14" s="2">
        <f t="shared" si="5"/>
        <v>9907.4247047260797</v>
      </c>
    </row>
    <row r="15" spans="1:10" x14ac:dyDescent="0.35">
      <c r="A15" s="3">
        <v>9</v>
      </c>
      <c r="B15" s="8">
        <f t="shared" si="0"/>
        <v>45566</v>
      </c>
      <c r="C15" s="1">
        <f t="shared" si="6"/>
        <v>74077.705363113942</v>
      </c>
      <c r="D15" s="1">
        <f t="shared" si="7"/>
        <v>15894.890221903363</v>
      </c>
      <c r="E15" s="1">
        <f t="shared" si="8"/>
        <v>9861132.4915266223</v>
      </c>
      <c r="F15" s="7">
        <f t="shared" si="1"/>
        <v>0.93496317682083041</v>
      </c>
      <c r="G15" s="1">
        <f t="shared" si="2"/>
        <v>69259.926737894479</v>
      </c>
      <c r="H15" s="2">
        <f t="shared" si="3"/>
        <v>51944.945053420859</v>
      </c>
      <c r="I15" s="1">
        <f t="shared" si="4"/>
        <v>14861.137057089121</v>
      </c>
      <c r="J15" s="2">
        <f t="shared" si="5"/>
        <v>11145.852792816841</v>
      </c>
    </row>
    <row r="16" spans="1:10" x14ac:dyDescent="0.35">
      <c r="A16" s="3">
        <v>10</v>
      </c>
      <c r="B16" s="8">
        <f t="shared" si="0"/>
        <v>45597</v>
      </c>
      <c r="C16" s="1">
        <f t="shared" si="6"/>
        <v>73958.49368644967</v>
      </c>
      <c r="D16" s="1">
        <f t="shared" si="7"/>
        <v>16014.101898567635</v>
      </c>
      <c r="E16" s="1">
        <f t="shared" si="8"/>
        <v>9845118.3896280546</v>
      </c>
      <c r="F16" s="7">
        <f t="shared" si="1"/>
        <v>0.92800315317203996</v>
      </c>
      <c r="G16" s="1">
        <f t="shared" si="2"/>
        <v>68633.715344879703</v>
      </c>
      <c r="H16" s="2">
        <f t="shared" si="3"/>
        <v>57194.762787399755</v>
      </c>
      <c r="I16" s="1">
        <f t="shared" si="4"/>
        <v>14861.137057089116</v>
      </c>
      <c r="J16" s="2">
        <f t="shared" si="5"/>
        <v>12384.280880907598</v>
      </c>
    </row>
    <row r="17" spans="1:10" x14ac:dyDescent="0.35">
      <c r="A17" s="3">
        <v>11</v>
      </c>
      <c r="B17" s="8">
        <f t="shared" si="0"/>
        <v>45627</v>
      </c>
      <c r="C17" s="1">
        <f t="shared" si="6"/>
        <v>73838.387922210401</v>
      </c>
      <c r="D17" s="1">
        <f t="shared" si="7"/>
        <v>16134.207662806904</v>
      </c>
      <c r="E17" s="1">
        <f t="shared" si="8"/>
        <v>9828984.1819652468</v>
      </c>
      <c r="F17" s="7">
        <f t="shared" si="1"/>
        <v>0.92109494111368717</v>
      </c>
      <c r="G17" s="1">
        <f t="shared" si="2"/>
        <v>68012.165575137973</v>
      </c>
      <c r="H17" s="2">
        <f t="shared" si="3"/>
        <v>62344.485110543137</v>
      </c>
      <c r="I17" s="1">
        <f t="shared" si="4"/>
        <v>14861.137057089127</v>
      </c>
      <c r="J17" s="2">
        <f t="shared" si="5"/>
        <v>13622.708968998366</v>
      </c>
    </row>
    <row r="18" spans="1:10" x14ac:dyDescent="0.35">
      <c r="A18" s="3">
        <v>12</v>
      </c>
      <c r="B18" s="8">
        <f t="shared" si="0"/>
        <v>45658</v>
      </c>
      <c r="C18" s="1">
        <f t="shared" si="6"/>
        <v>73717.381364739354</v>
      </c>
      <c r="D18" s="1">
        <f t="shared" si="7"/>
        <v>16255.214220277951</v>
      </c>
      <c r="E18" s="1">
        <f t="shared" si="8"/>
        <v>9812728.9677449688</v>
      </c>
      <c r="F18" s="7">
        <f t="shared" si="1"/>
        <v>0.91423815495155047</v>
      </c>
      <c r="G18" s="1">
        <f t="shared" si="2"/>
        <v>67395.242726759112</v>
      </c>
      <c r="H18" s="2">
        <f t="shared" si="3"/>
        <v>67395.242726759112</v>
      </c>
      <c r="I18" s="1">
        <f t="shared" si="4"/>
        <v>14861.137057089119</v>
      </c>
      <c r="J18" s="2">
        <f t="shared" si="5"/>
        <v>14861.137057089119</v>
      </c>
    </row>
    <row r="19" spans="1:10" x14ac:dyDescent="0.35">
      <c r="A19" s="3">
        <v>13</v>
      </c>
      <c r="B19" s="8">
        <f t="shared" si="0"/>
        <v>45689</v>
      </c>
      <c r="C19" s="1">
        <f t="shared" si="6"/>
        <v>73595.467258087258</v>
      </c>
      <c r="D19" s="1">
        <f t="shared" si="7"/>
        <v>16377.128326930047</v>
      </c>
      <c r="E19" s="1">
        <f t="shared" si="8"/>
        <v>9796351.8394180387</v>
      </c>
      <c r="F19" s="7">
        <f t="shared" si="1"/>
        <v>0.90743241186258117</v>
      </c>
      <c r="G19" s="1">
        <f t="shared" si="2"/>
        <v>66782.912356159737</v>
      </c>
      <c r="H19" s="2">
        <f t="shared" si="3"/>
        <v>72348.155052506379</v>
      </c>
      <c r="I19" s="1">
        <f t="shared" si="4"/>
        <v>14861.137057089132</v>
      </c>
      <c r="J19" s="2">
        <f t="shared" si="5"/>
        <v>16099.565145179891</v>
      </c>
    </row>
    <row r="20" spans="1:10" x14ac:dyDescent="0.35">
      <c r="A20" s="3">
        <v>14</v>
      </c>
      <c r="B20" s="8">
        <f t="shared" si="0"/>
        <v>45717</v>
      </c>
      <c r="C20" s="1">
        <f t="shared" si="6"/>
        <v>73472.638795635285</v>
      </c>
      <c r="D20" s="1">
        <f t="shared" si="7"/>
        <v>16499.95678938202</v>
      </c>
      <c r="E20" s="1">
        <f t="shared" si="8"/>
        <v>9779851.8826286569</v>
      </c>
      <c r="F20" s="7">
        <f t="shared" si="1"/>
        <v>0.90067733187352939</v>
      </c>
      <c r="G20" s="1">
        <f t="shared" si="2"/>
        <v>66175.140276160353</v>
      </c>
      <c r="H20" s="2">
        <f t="shared" si="3"/>
        <v>77204.330322187088</v>
      </c>
      <c r="I20" s="1">
        <f t="shared" si="4"/>
        <v>14861.137057089125</v>
      </c>
      <c r="J20" s="2">
        <f t="shared" si="5"/>
        <v>17337.993233270648</v>
      </c>
    </row>
    <row r="21" spans="1:10" x14ac:dyDescent="0.35">
      <c r="A21" s="3">
        <v>15</v>
      </c>
      <c r="B21" s="8">
        <f t="shared" si="0"/>
        <v>45748</v>
      </c>
      <c r="C21" s="1">
        <f t="shared" si="6"/>
        <v>73348.889119714921</v>
      </c>
      <c r="D21" s="1">
        <f t="shared" si="7"/>
        <v>16623.706465302384</v>
      </c>
      <c r="E21" s="1">
        <f t="shared" si="8"/>
        <v>9763228.1761633549</v>
      </c>
      <c r="F21" s="7">
        <f t="shared" si="1"/>
        <v>0.8939725378397313</v>
      </c>
      <c r="G21" s="1">
        <f t="shared" si="2"/>
        <v>65571.892554076607</v>
      </c>
      <c r="H21" s="2">
        <f t="shared" si="3"/>
        <v>81964.865692595762</v>
      </c>
      <c r="I21" s="1">
        <f t="shared" si="4"/>
        <v>14861.137057089121</v>
      </c>
      <c r="J21" s="2">
        <f t="shared" si="5"/>
        <v>18576.421321361402</v>
      </c>
    </row>
    <row r="22" spans="1:10" x14ac:dyDescent="0.35">
      <c r="A22" s="3">
        <v>16</v>
      </c>
      <c r="B22" s="8">
        <f t="shared" si="0"/>
        <v>45778</v>
      </c>
      <c r="C22" s="1">
        <f t="shared" si="6"/>
        <v>73224.211321225157</v>
      </c>
      <c r="D22" s="1">
        <f t="shared" si="7"/>
        <v>16748.384263792148</v>
      </c>
      <c r="E22" s="1">
        <f t="shared" si="8"/>
        <v>9746479.7918995619</v>
      </c>
      <c r="F22" s="7">
        <f t="shared" si="1"/>
        <v>0.88731765542405105</v>
      </c>
      <c r="G22" s="1">
        <f t="shared" si="2"/>
        <v>64973.135509824759</v>
      </c>
      <c r="H22" s="2">
        <f t="shared" si="3"/>
        <v>86630.847346433002</v>
      </c>
      <c r="I22" s="1">
        <f t="shared" si="4"/>
        <v>14861.137057089119</v>
      </c>
      <c r="J22" s="2">
        <f t="shared" si="5"/>
        <v>19814.849409452159</v>
      </c>
    </row>
    <row r="23" spans="1:10" x14ac:dyDescent="0.35">
      <c r="A23" s="3">
        <v>17</v>
      </c>
      <c r="B23" s="8">
        <f t="shared" si="0"/>
        <v>45809</v>
      </c>
      <c r="C23" s="1">
        <f t="shared" si="6"/>
        <v>73098.598439246707</v>
      </c>
      <c r="D23" s="1">
        <f t="shared" si="7"/>
        <v>16873.997145770598</v>
      </c>
      <c r="E23" s="1">
        <f t="shared" si="8"/>
        <v>9729605.7947537918</v>
      </c>
      <c r="F23" s="7">
        <f t="shared" si="1"/>
        <v>0.88071231307598108</v>
      </c>
      <c r="G23" s="1">
        <f t="shared" si="2"/>
        <v>64378.83571404127</v>
      </c>
      <c r="H23" s="2">
        <f t="shared" si="3"/>
        <v>91203.350594891803</v>
      </c>
      <c r="I23" s="1">
        <f t="shared" si="4"/>
        <v>14861.137057089127</v>
      </c>
      <c r="J23" s="2">
        <f t="shared" si="5"/>
        <v>21053.277497542931</v>
      </c>
    </row>
    <row r="24" spans="1:10" x14ac:dyDescent="0.35">
      <c r="A24" s="3">
        <v>18</v>
      </c>
      <c r="B24" s="8">
        <f t="shared" si="0"/>
        <v>45839</v>
      </c>
      <c r="C24" s="1">
        <f t="shared" si="6"/>
        <v>72972.04346065344</v>
      </c>
      <c r="D24" s="1">
        <f t="shared" si="7"/>
        <v>17000.552124363865</v>
      </c>
      <c r="E24" s="1">
        <f t="shared" si="8"/>
        <v>9712605.2426294275</v>
      </c>
      <c r="F24" s="7">
        <f t="shared" si="1"/>
        <v>0.8741561420108992</v>
      </c>
      <c r="G24" s="1">
        <f t="shared" si="2"/>
        <v>63788.959986216476</v>
      </c>
      <c r="H24" s="2">
        <f t="shared" si="3"/>
        <v>95683.439979324714</v>
      </c>
      <c r="I24" s="1">
        <f t="shared" si="4"/>
        <v>14861.137057089112</v>
      </c>
      <c r="J24" s="2">
        <f t="shared" si="5"/>
        <v>22291.705585633666</v>
      </c>
    </row>
    <row r="25" spans="1:10" x14ac:dyDescent="0.35">
      <c r="A25" s="3">
        <v>19</v>
      </c>
      <c r="B25" s="8">
        <f t="shared" si="0"/>
        <v>45870</v>
      </c>
      <c r="C25" s="1">
        <f t="shared" si="6"/>
        <v>72844.539319720701</v>
      </c>
      <c r="D25" s="1">
        <f t="shared" si="7"/>
        <v>17128.056265296604</v>
      </c>
      <c r="E25" s="1">
        <f t="shared" si="8"/>
        <v>9695477.186364131</v>
      </c>
      <c r="F25" s="7">
        <f t="shared" si="1"/>
        <v>0.86764877618947811</v>
      </c>
      <c r="G25" s="1">
        <f t="shared" si="2"/>
        <v>63203.475392841981</v>
      </c>
      <c r="H25" s="2">
        <f t="shared" si="3"/>
        <v>100072.1693719998</v>
      </c>
      <c r="I25" s="1">
        <f t="shared" si="4"/>
        <v>14861.137057089121</v>
      </c>
      <c r="J25" s="2">
        <f t="shared" si="5"/>
        <v>23530.133673724442</v>
      </c>
    </row>
    <row r="26" spans="1:10" x14ac:dyDescent="0.35">
      <c r="A26" s="3">
        <v>20</v>
      </c>
      <c r="B26" s="8">
        <f t="shared" si="0"/>
        <v>45901</v>
      </c>
      <c r="C26" s="1">
        <f t="shared" si="6"/>
        <v>72716.078897730986</v>
      </c>
      <c r="D26" s="1">
        <f t="shared" si="7"/>
        <v>17256.516687286319</v>
      </c>
      <c r="E26" s="1">
        <f t="shared" si="8"/>
        <v>9678220.669676844</v>
      </c>
      <c r="F26" s="7">
        <f t="shared" si="1"/>
        <v>0.86118985229724865</v>
      </c>
      <c r="G26" s="1">
        <f t="shared" si="2"/>
        <v>62622.349245572026</v>
      </c>
      <c r="H26" s="2">
        <f t="shared" si="3"/>
        <v>104370.58207595338</v>
      </c>
      <c r="I26" s="1">
        <f t="shared" si="4"/>
        <v>14861.137057089112</v>
      </c>
      <c r="J26" s="2">
        <f t="shared" si="5"/>
        <v>24768.561761815188</v>
      </c>
    </row>
    <row r="27" spans="1:10" x14ac:dyDescent="0.35">
      <c r="A27" s="3">
        <v>21</v>
      </c>
      <c r="B27" s="8">
        <f t="shared" si="0"/>
        <v>45931</v>
      </c>
      <c r="C27" s="1">
        <f t="shared" si="6"/>
        <v>72586.65502257632</v>
      </c>
      <c r="D27" s="1">
        <f t="shared" si="7"/>
        <v>17385.940562440985</v>
      </c>
      <c r="E27" s="1">
        <f t="shared" si="8"/>
        <v>9660834.7291144039</v>
      </c>
      <c r="F27" s="7">
        <f t="shared" si="1"/>
        <v>0.8547790097243162</v>
      </c>
      <c r="G27" s="1">
        <f t="shared" si="2"/>
        <v>62045.549099398348</v>
      </c>
      <c r="H27" s="2">
        <f t="shared" si="3"/>
        <v>108579.7109239471</v>
      </c>
      <c r="I27" s="1">
        <f t="shared" si="4"/>
        <v>14861.137057089125</v>
      </c>
      <c r="J27" s="2">
        <f t="shared" si="5"/>
        <v>26006.989849905967</v>
      </c>
    </row>
    <row r="28" spans="1:10" x14ac:dyDescent="0.35">
      <c r="A28" s="3">
        <v>22</v>
      </c>
      <c r="B28" s="8">
        <f t="shared" si="0"/>
        <v>45962</v>
      </c>
      <c r="C28" s="1">
        <f t="shared" si="6"/>
        <v>72456.260468358028</v>
      </c>
      <c r="D28" s="1">
        <f t="shared" si="7"/>
        <v>17516.335116659277</v>
      </c>
      <c r="E28" s="1">
        <f t="shared" si="8"/>
        <v>9643318.3939977456</v>
      </c>
      <c r="F28" s="7">
        <f t="shared" si="1"/>
        <v>0.84841589054522681</v>
      </c>
      <c r="G28" s="1">
        <f t="shared" si="2"/>
        <v>61473.042750838889</v>
      </c>
      <c r="H28" s="2">
        <f t="shared" si="3"/>
        <v>112700.57837653796</v>
      </c>
      <c r="I28" s="1">
        <f t="shared" si="4"/>
        <v>14861.13705708911</v>
      </c>
      <c r="J28" s="2">
        <f t="shared" si="5"/>
        <v>27245.417937996703</v>
      </c>
    </row>
    <row r="29" spans="1:10" x14ac:dyDescent="0.35">
      <c r="A29" s="3">
        <v>23</v>
      </c>
      <c r="B29" s="8">
        <f t="shared" si="0"/>
        <v>45992</v>
      </c>
      <c r="C29" s="1">
        <f t="shared" si="6"/>
        <v>72324.887954983089</v>
      </c>
      <c r="D29" s="1">
        <f t="shared" si="7"/>
        <v>17647.707630034216</v>
      </c>
      <c r="E29" s="1">
        <f t="shared" si="8"/>
        <v>9625670.6863677111</v>
      </c>
      <c r="F29" s="7">
        <f t="shared" si="1"/>
        <v>0.84210013949898443</v>
      </c>
      <c r="G29" s="1">
        <f t="shared" si="2"/>
        <v>60904.798236139679</v>
      </c>
      <c r="H29" s="2">
        <f t="shared" si="3"/>
        <v>116734.19661926772</v>
      </c>
      <c r="I29" s="1">
        <f t="shared" si="4"/>
        <v>14861.137057089105</v>
      </c>
      <c r="J29" s="2">
        <f t="shared" si="5"/>
        <v>28483.846026087453</v>
      </c>
    </row>
    <row r="30" spans="1:10" x14ac:dyDescent="0.35">
      <c r="A30" s="3">
        <v>24</v>
      </c>
      <c r="B30" s="8">
        <f t="shared" si="0"/>
        <v>46023</v>
      </c>
      <c r="C30" s="1">
        <f t="shared" si="6"/>
        <v>72192.530147757832</v>
      </c>
      <c r="D30" s="1">
        <f t="shared" si="7"/>
        <v>17780.065437259473</v>
      </c>
      <c r="E30" s="1">
        <f t="shared" si="8"/>
        <v>9607890.6209304519</v>
      </c>
      <c r="F30" s="7">
        <f t="shared" si="1"/>
        <v>0.83583140396921529</v>
      </c>
      <c r="G30" s="1">
        <f t="shared" si="2"/>
        <v>60340.783829490334</v>
      </c>
      <c r="H30" s="2">
        <f t="shared" si="3"/>
        <v>120681.56765898067</v>
      </c>
      <c r="I30" s="1">
        <f t="shared" si="4"/>
        <v>14861.137057089105</v>
      </c>
      <c r="J30" s="2">
        <f t="shared" si="5"/>
        <v>29722.27411417821</v>
      </c>
    </row>
    <row r="31" spans="1:10" x14ac:dyDescent="0.35">
      <c r="A31" s="3">
        <v>25</v>
      </c>
      <c r="B31" s="8">
        <f t="shared" si="0"/>
        <v>46054</v>
      </c>
      <c r="C31" s="1">
        <f t="shared" si="6"/>
        <v>72059.179656978391</v>
      </c>
      <c r="D31" s="1">
        <f t="shared" si="7"/>
        <v>17913.415928038914</v>
      </c>
      <c r="E31" s="1">
        <f t="shared" si="8"/>
        <v>9589977.2050024122</v>
      </c>
      <c r="F31" s="7">
        <f t="shared" si="1"/>
        <v>0.82960933396448167</v>
      </c>
      <c r="G31" s="1">
        <f t="shared" si="2"/>
        <v>59780.968041252767</v>
      </c>
      <c r="H31" s="2">
        <f t="shared" si="3"/>
        <v>124543.68341927661</v>
      </c>
      <c r="I31" s="1">
        <f t="shared" si="4"/>
        <v>14861.137057089101</v>
      </c>
      <c r="J31" s="2">
        <f t="shared" si="5"/>
        <v>30960.702202268963</v>
      </c>
    </row>
    <row r="32" spans="1:10" x14ac:dyDescent="0.35">
      <c r="A32" s="3">
        <v>26</v>
      </c>
      <c r="B32" s="8">
        <f t="shared" si="0"/>
        <v>46082</v>
      </c>
      <c r="C32" s="1">
        <f t="shared" si="6"/>
        <v>71924.829037518095</v>
      </c>
      <c r="D32" s="1">
        <f t="shared" si="7"/>
        <v>18047.76654749921</v>
      </c>
      <c r="E32" s="1">
        <f t="shared" si="8"/>
        <v>9571929.438454913</v>
      </c>
      <c r="F32" s="7">
        <f t="shared" si="1"/>
        <v>0.82343358209874096</v>
      </c>
      <c r="G32" s="1">
        <f t="shared" si="2"/>
        <v>59225.319616203065</v>
      </c>
      <c r="H32" s="2">
        <f t="shared" si="3"/>
        <v>128321.52583510663</v>
      </c>
      <c r="I32" s="1">
        <f t="shared" si="4"/>
        <v>14861.137057089101</v>
      </c>
      <c r="J32" s="2">
        <f t="shared" si="5"/>
        <v>32199.130290359717</v>
      </c>
    </row>
    <row r="33" spans="1:10" x14ac:dyDescent="0.35">
      <c r="A33" s="3">
        <v>27</v>
      </c>
      <c r="B33" s="8">
        <f t="shared" si="0"/>
        <v>46113</v>
      </c>
      <c r="C33" s="1">
        <f t="shared" si="6"/>
        <v>71789.47078841184</v>
      </c>
      <c r="D33" s="1">
        <f t="shared" si="7"/>
        <v>18183.124796605465</v>
      </c>
      <c r="E33" s="1">
        <f t="shared" si="8"/>
        <v>9553746.3136583082</v>
      </c>
      <c r="F33" s="7">
        <f t="shared" si="1"/>
        <v>0.81730380357195132</v>
      </c>
      <c r="G33" s="1">
        <f t="shared" si="2"/>
        <v>58673.807531786486</v>
      </c>
      <c r="H33" s="2">
        <f t="shared" si="3"/>
        <v>132016.0669465196</v>
      </c>
      <c r="I33" s="1">
        <f t="shared" si="4"/>
        <v>14861.13705708911</v>
      </c>
      <c r="J33" s="2">
        <f t="shared" si="5"/>
        <v>33437.5583784505</v>
      </c>
    </row>
    <row r="34" spans="1:10" x14ac:dyDescent="0.35">
      <c r="A34" s="3">
        <v>28</v>
      </c>
      <c r="B34" s="8">
        <f t="shared" si="0"/>
        <v>46143</v>
      </c>
      <c r="C34" s="1">
        <f t="shared" si="6"/>
        <v>71653.097352437311</v>
      </c>
      <c r="D34" s="1">
        <f t="shared" si="7"/>
        <v>18319.498232579994</v>
      </c>
      <c r="E34" s="1">
        <f t="shared" si="8"/>
        <v>9535426.8154257275</v>
      </c>
      <c r="F34" s="7">
        <f t="shared" si="1"/>
        <v>0.81121965615081992</v>
      </c>
      <c r="G34" s="1">
        <f t="shared" si="2"/>
        <v>58126.400996385419</v>
      </c>
      <c r="H34" s="2">
        <f t="shared" si="3"/>
        <v>135628.26899156597</v>
      </c>
      <c r="I34" s="1">
        <f t="shared" si="4"/>
        <v>14861.137057089096</v>
      </c>
      <c r="J34" s="2">
        <f t="shared" si="5"/>
        <v>34675.986466541224</v>
      </c>
    </row>
    <row r="35" spans="1:10" x14ac:dyDescent="0.35">
      <c r="A35" s="3">
        <v>29</v>
      </c>
      <c r="B35" s="8">
        <f t="shared" si="0"/>
        <v>46174</v>
      </c>
      <c r="C35" s="1">
        <f t="shared" si="6"/>
        <v>71515.701115692951</v>
      </c>
      <c r="D35" s="1">
        <f t="shared" si="7"/>
        <v>18456.894469324354</v>
      </c>
      <c r="E35" s="1">
        <f t="shared" si="8"/>
        <v>9516969.920956403</v>
      </c>
      <c r="F35" s="7">
        <f t="shared" si="1"/>
        <v>0.80518080014969728</v>
      </c>
      <c r="G35" s="1">
        <f t="shared" si="2"/>
        <v>57583.069447600246</v>
      </c>
      <c r="H35" s="2">
        <f t="shared" si="3"/>
        <v>139159.08449836724</v>
      </c>
      <c r="I35" s="1">
        <f t="shared" si="4"/>
        <v>14861.137057089105</v>
      </c>
      <c r="J35" s="2">
        <f t="shared" si="5"/>
        <v>35914.414554632</v>
      </c>
    </row>
    <row r="36" spans="1:10" x14ac:dyDescent="0.35">
      <c r="A36" s="3">
        <v>30</v>
      </c>
      <c r="B36" s="8">
        <f t="shared" si="0"/>
        <v>46204</v>
      </c>
      <c r="C36" s="1">
        <f t="shared" si="6"/>
        <v>71377.274407173027</v>
      </c>
      <c r="D36" s="1">
        <f t="shared" si="7"/>
        <v>18595.321177844278</v>
      </c>
      <c r="E36" s="1">
        <f t="shared" si="8"/>
        <v>9498374.5997785591</v>
      </c>
      <c r="F36" s="7">
        <f t="shared" si="1"/>
        <v>0.79918689841161006</v>
      </c>
      <c r="G36" s="1">
        <f t="shared" si="2"/>
        <v>57043.782550543001</v>
      </c>
      <c r="H36" s="2">
        <f t="shared" si="3"/>
        <v>142609.4563763575</v>
      </c>
      <c r="I36" s="1">
        <f t="shared" si="4"/>
        <v>14861.137057089096</v>
      </c>
      <c r="J36" s="2">
        <f t="shared" si="5"/>
        <v>37152.842642722739</v>
      </c>
    </row>
    <row r="37" spans="1:10" x14ac:dyDescent="0.35">
      <c r="A37" s="3">
        <v>31</v>
      </c>
      <c r="B37" s="8">
        <f t="shared" si="0"/>
        <v>46235</v>
      </c>
      <c r="C37" s="1">
        <f t="shared" si="6"/>
        <v>71237.809498339193</v>
      </c>
      <c r="D37" s="1">
        <f t="shared" si="7"/>
        <v>18734.786086678112</v>
      </c>
      <c r="E37" s="1">
        <f t="shared" si="8"/>
        <v>9479639.8136918806</v>
      </c>
      <c r="F37" s="7">
        <f t="shared" si="1"/>
        <v>0.79323761628943912</v>
      </c>
      <c r="G37" s="1">
        <f t="shared" si="2"/>
        <v>56508.510196143747</v>
      </c>
      <c r="H37" s="2">
        <f t="shared" si="3"/>
        <v>145980.31800670468</v>
      </c>
      <c r="I37" s="1">
        <f t="shared" si="4"/>
        <v>14861.137057089094</v>
      </c>
      <c r="J37" s="2">
        <f t="shared" si="5"/>
        <v>38391.270730813492</v>
      </c>
    </row>
    <row r="38" spans="1:10" x14ac:dyDescent="0.35">
      <c r="A38" s="3">
        <v>32</v>
      </c>
      <c r="B38" s="8">
        <f t="shared" si="0"/>
        <v>46266</v>
      </c>
      <c r="C38" s="1">
        <f t="shared" si="6"/>
        <v>71097.298602689101</v>
      </c>
      <c r="D38" s="1">
        <f t="shared" si="7"/>
        <v>18875.296982328204</v>
      </c>
      <c r="E38" s="1">
        <f t="shared" si="8"/>
        <v>9460764.5167095531</v>
      </c>
      <c r="F38" s="7">
        <f t="shared" si="1"/>
        <v>0.78733262162723494</v>
      </c>
      <c r="G38" s="1">
        <f t="shared" si="2"/>
        <v>55977.222499469557</v>
      </c>
      <c r="H38" s="2">
        <f t="shared" si="3"/>
        <v>149272.59333191882</v>
      </c>
      <c r="I38" s="1">
        <f t="shared" si="4"/>
        <v>14861.137057089101</v>
      </c>
      <c r="J38" s="2">
        <f t="shared" si="5"/>
        <v>39629.698818904268</v>
      </c>
    </row>
    <row r="39" spans="1:10" x14ac:dyDescent="0.35">
      <c r="A39" s="3">
        <v>33</v>
      </c>
      <c r="B39" s="8">
        <f t="shared" si="0"/>
        <v>46296</v>
      </c>
      <c r="C39" s="1">
        <f t="shared" si="6"/>
        <v>70955.733875321646</v>
      </c>
      <c r="D39" s="1">
        <f t="shared" si="7"/>
        <v>19016.861709695659</v>
      </c>
      <c r="E39" s="1">
        <f t="shared" si="8"/>
        <v>9441747.6549998578</v>
      </c>
      <c r="F39" s="7">
        <f t="shared" si="1"/>
        <v>0.78147158474167244</v>
      </c>
      <c r="G39" s="1">
        <f t="shared" si="2"/>
        <v>55449.889798055978</v>
      </c>
      <c r="H39" s="2">
        <f t="shared" si="3"/>
        <v>152487.19694465393</v>
      </c>
      <c r="I39" s="1">
        <f t="shared" si="4"/>
        <v>14861.137057089098</v>
      </c>
      <c r="J39" s="2">
        <f t="shared" si="5"/>
        <v>40868.126906995021</v>
      </c>
    </row>
    <row r="40" spans="1:10" x14ac:dyDescent="0.35">
      <c r="A40" s="3">
        <v>34</v>
      </c>
      <c r="B40" s="8">
        <f t="shared" si="0"/>
        <v>46327</v>
      </c>
      <c r="C40" s="1">
        <f t="shared" si="6"/>
        <v>70813.107412498925</v>
      </c>
      <c r="D40" s="1">
        <f t="shared" si="7"/>
        <v>19159.48817251838</v>
      </c>
      <c r="E40" s="1">
        <f t="shared" si="8"/>
        <v>9422588.1668273397</v>
      </c>
      <c r="F40" s="7">
        <f t="shared" si="1"/>
        <v>0.77565417840364492</v>
      </c>
      <c r="G40" s="1">
        <f t="shared" si="2"/>
        <v>54926.48265025091</v>
      </c>
      <c r="H40" s="2">
        <f t="shared" si="3"/>
        <v>155625.03417571093</v>
      </c>
      <c r="I40" s="1">
        <f t="shared" si="4"/>
        <v>14861.137057089096</v>
      </c>
      <c r="J40" s="2">
        <f t="shared" si="5"/>
        <v>42106.554995085775</v>
      </c>
    </row>
    <row r="41" spans="1:10" x14ac:dyDescent="0.35">
      <c r="A41" s="3">
        <v>35</v>
      </c>
      <c r="B41" s="8">
        <f t="shared" si="0"/>
        <v>46357</v>
      </c>
      <c r="C41" s="1">
        <f t="shared" si="6"/>
        <v>70669.411251205049</v>
      </c>
      <c r="D41" s="1">
        <f t="shared" si="7"/>
        <v>19303.184333812256</v>
      </c>
      <c r="E41" s="1">
        <f t="shared" si="8"/>
        <v>9403284.9824935272</v>
      </c>
      <c r="F41" s="7">
        <f t="shared" si="1"/>
        <v>0.7698800778199949</v>
      </c>
      <c r="G41" s="1">
        <f t="shared" si="2"/>
        <v>54406.971833570969</v>
      </c>
      <c r="H41" s="2">
        <f t="shared" si="3"/>
        <v>158687.00118124866</v>
      </c>
      <c r="I41" s="1">
        <f t="shared" si="4"/>
        <v>14861.137057089087</v>
      </c>
      <c r="J41" s="2">
        <f t="shared" si="5"/>
        <v>43344.983083176499</v>
      </c>
    </row>
    <row r="42" spans="1:10" x14ac:dyDescent="0.35">
      <c r="A42" s="3">
        <v>36</v>
      </c>
      <c r="B42" s="8">
        <f t="shared" si="0"/>
        <v>46388</v>
      </c>
      <c r="C42" s="1">
        <f t="shared" si="6"/>
        <v>70524.637368701457</v>
      </c>
      <c r="D42" s="1">
        <f t="shared" si="7"/>
        <v>19447.958216315848</v>
      </c>
      <c r="E42" s="1">
        <f t="shared" si="8"/>
        <v>9383837.0242772121</v>
      </c>
      <c r="F42" s="7">
        <f t="shared" si="1"/>
        <v>0.76414896061537951</v>
      </c>
      <c r="G42" s="1">
        <f t="shared" si="2"/>
        <v>53891.32834306977</v>
      </c>
      <c r="H42" s="2">
        <f t="shared" si="3"/>
        <v>161673.98502920932</v>
      </c>
      <c r="I42" s="1">
        <f t="shared" si="4"/>
        <v>14861.137057089085</v>
      </c>
      <c r="J42" s="2">
        <f t="shared" si="5"/>
        <v>44583.411171267253</v>
      </c>
    </row>
    <row r="43" spans="1:10" x14ac:dyDescent="0.35">
      <c r="A43" s="3">
        <v>37</v>
      </c>
      <c r="B43" s="8">
        <f t="shared" si="0"/>
        <v>46419</v>
      </c>
      <c r="C43" s="1">
        <f t="shared" si="6"/>
        <v>70378.77768207909</v>
      </c>
      <c r="D43" s="1">
        <f t="shared" si="7"/>
        <v>19593.817902938215</v>
      </c>
      <c r="E43" s="1">
        <f t="shared" si="8"/>
        <v>9364243.2063742746</v>
      </c>
      <c r="F43" s="7">
        <f t="shared" si="1"/>
        <v>0.75846050681427246</v>
      </c>
      <c r="G43" s="1">
        <f t="shared" si="2"/>
        <v>53379.523389718714</v>
      </c>
      <c r="H43" s="2">
        <f t="shared" si="3"/>
        <v>164586.86378496603</v>
      </c>
      <c r="I43" s="1">
        <f t="shared" si="4"/>
        <v>14861.137057089085</v>
      </c>
      <c r="J43" s="2">
        <f t="shared" si="5"/>
        <v>45821.839259358014</v>
      </c>
    </row>
    <row r="44" spans="1:10" x14ac:dyDescent="0.35">
      <c r="A44" s="3">
        <v>38</v>
      </c>
      <c r="B44" s="8">
        <f t="shared" si="0"/>
        <v>46447</v>
      </c>
      <c r="C44" s="1">
        <f t="shared" si="6"/>
        <v>70231.824047807051</v>
      </c>
      <c r="D44" s="1">
        <f t="shared" si="7"/>
        <v>19740.771537210254</v>
      </c>
      <c r="E44" s="1">
        <f t="shared" si="8"/>
        <v>9344502.4348370638</v>
      </c>
      <c r="F44" s="7">
        <f t="shared" si="1"/>
        <v>0.75281439882309908</v>
      </c>
      <c r="G44" s="1">
        <f t="shared" si="2"/>
        <v>52871.528398799535</v>
      </c>
      <c r="H44" s="2">
        <f t="shared" si="3"/>
        <v>167426.50659619851</v>
      </c>
      <c r="I44" s="1">
        <f t="shared" si="4"/>
        <v>14861.137057089083</v>
      </c>
      <c r="J44" s="2">
        <f t="shared" si="5"/>
        <v>47060.26734744876</v>
      </c>
    </row>
    <row r="45" spans="1:10" x14ac:dyDescent="0.35">
      <c r="A45" s="3">
        <v>39</v>
      </c>
      <c r="B45" s="8">
        <f t="shared" si="0"/>
        <v>46478</v>
      </c>
      <c r="C45" s="1">
        <f t="shared" si="6"/>
        <v>70083.768261277975</v>
      </c>
      <c r="D45" s="1">
        <f t="shared" si="7"/>
        <v>19888.82732373933</v>
      </c>
      <c r="E45" s="1">
        <f t="shared" si="8"/>
        <v>9324613.6075133253</v>
      </c>
      <c r="F45" s="7">
        <f t="shared" si="1"/>
        <v>0.74721032141250521</v>
      </c>
      <c r="G45" s="1">
        <f t="shared" si="2"/>
        <v>52367.315008309044</v>
      </c>
      <c r="H45" s="2">
        <f t="shared" si="3"/>
        <v>170193.77377700439</v>
      </c>
      <c r="I45" s="1">
        <f t="shared" si="4"/>
        <v>14861.137057089079</v>
      </c>
      <c r="J45" s="2">
        <f t="shared" si="5"/>
        <v>48298.695435539506</v>
      </c>
    </row>
    <row r="46" spans="1:10" x14ac:dyDescent="0.35">
      <c r="A46" s="3">
        <v>40</v>
      </c>
      <c r="B46" s="8">
        <f t="shared" si="0"/>
        <v>46508</v>
      </c>
      <c r="C46" s="1">
        <f t="shared" si="6"/>
        <v>69934.602056349933</v>
      </c>
      <c r="D46" s="1">
        <f t="shared" si="7"/>
        <v>20037.993528667372</v>
      </c>
      <c r="E46" s="1">
        <f t="shared" si="8"/>
        <v>9304575.6139846575</v>
      </c>
      <c r="F46" s="7">
        <f t="shared" si="1"/>
        <v>0.741647961699757</v>
      </c>
      <c r="G46" s="1">
        <f t="shared" si="2"/>
        <v>51866.85506737556</v>
      </c>
      <c r="H46" s="2">
        <f t="shared" si="3"/>
        <v>172889.51689125187</v>
      </c>
      <c r="I46" s="1">
        <f t="shared" si="4"/>
        <v>14861.137057089078</v>
      </c>
      <c r="J46" s="2">
        <f t="shared" si="5"/>
        <v>49537.12352363026</v>
      </c>
    </row>
    <row r="47" spans="1:10" x14ac:dyDescent="0.35">
      <c r="A47" s="3">
        <v>41</v>
      </c>
      <c r="B47" s="8">
        <f t="shared" si="0"/>
        <v>46539</v>
      </c>
      <c r="C47" s="1">
        <f t="shared" si="6"/>
        <v>69784.317104884933</v>
      </c>
      <c r="D47" s="1">
        <f t="shared" si="7"/>
        <v>20188.278480132372</v>
      </c>
      <c r="E47" s="1">
        <f t="shared" si="8"/>
        <v>9284387.3355045244</v>
      </c>
      <c r="F47" s="7">
        <f t="shared" si="1"/>
        <v>0.73612700913127238</v>
      </c>
      <c r="G47" s="1">
        <f t="shared" si="2"/>
        <v>51370.120634687235</v>
      </c>
      <c r="H47" s="2">
        <f t="shared" si="3"/>
        <v>175514.57883518137</v>
      </c>
      <c r="I47" s="1">
        <f t="shared" si="4"/>
        <v>14861.137057089072</v>
      </c>
      <c r="J47" s="2">
        <f t="shared" si="5"/>
        <v>50775.551611720992</v>
      </c>
    </row>
    <row r="48" spans="1:10" x14ac:dyDescent="0.35">
      <c r="A48" s="3">
        <v>42</v>
      </c>
      <c r="B48" s="8">
        <f t="shared" si="0"/>
        <v>46569</v>
      </c>
      <c r="C48" s="1">
        <f t="shared" si="6"/>
        <v>69632.905016283927</v>
      </c>
      <c r="D48" s="1">
        <f t="shared" si="7"/>
        <v>20339.690568733378</v>
      </c>
      <c r="E48" s="1">
        <f t="shared" si="8"/>
        <v>9264047.6449357904</v>
      </c>
      <c r="F48" s="7">
        <f t="shared" si="1"/>
        <v>0.73064715546528269</v>
      </c>
      <c r="G48" s="1">
        <f t="shared" si="2"/>
        <v>50877.083976932066</v>
      </c>
      <c r="H48" s="2">
        <f t="shared" si="3"/>
        <v>178069.79391926224</v>
      </c>
      <c r="I48" s="1">
        <f t="shared" si="4"/>
        <v>14861.137057089081</v>
      </c>
      <c r="J48" s="2">
        <f t="shared" si="5"/>
        <v>52013.979699811782</v>
      </c>
    </row>
    <row r="49" spans="1:10" x14ac:dyDescent="0.35">
      <c r="A49" s="3">
        <v>43</v>
      </c>
      <c r="B49" s="8">
        <f t="shared" si="0"/>
        <v>46600</v>
      </c>
      <c r="C49" s="1">
        <f t="shared" si="6"/>
        <v>69480.357337018431</v>
      </c>
      <c r="D49" s="1">
        <f t="shared" si="7"/>
        <v>20492.238247998874</v>
      </c>
      <c r="E49" s="1">
        <f t="shared" si="8"/>
        <v>9243555.4066877924</v>
      </c>
      <c r="F49" s="7">
        <f t="shared" si="1"/>
        <v>0.725208094754623</v>
      </c>
      <c r="G49" s="1">
        <f t="shared" si="2"/>
        <v>50387.717567249529</v>
      </c>
      <c r="H49" s="2">
        <f t="shared" si="3"/>
        <v>180555.98794931083</v>
      </c>
      <c r="I49" s="1">
        <f t="shared" si="4"/>
        <v>14861.137057089078</v>
      </c>
      <c r="J49" s="2">
        <f t="shared" si="5"/>
        <v>53252.407787902528</v>
      </c>
    </row>
    <row r="50" spans="1:10" x14ac:dyDescent="0.35">
      <c r="A50" s="3">
        <v>44</v>
      </c>
      <c r="B50" s="8">
        <f t="shared" si="0"/>
        <v>46631</v>
      </c>
      <c r="C50" s="1">
        <f t="shared" si="6"/>
        <v>69326.665550158446</v>
      </c>
      <c r="D50" s="1">
        <f t="shared" si="7"/>
        <v>20645.930034858859</v>
      </c>
      <c r="E50" s="1">
        <f t="shared" si="8"/>
        <v>9222909.4766529333</v>
      </c>
      <c r="F50" s="7">
        <f t="shared" si="1"/>
        <v>0.71980952332965054</v>
      </c>
      <c r="G50" s="1">
        <f t="shared" si="2"/>
        <v>49901.994083693658</v>
      </c>
      <c r="H50" s="2">
        <f t="shared" si="3"/>
        <v>182973.97830687673</v>
      </c>
      <c r="I50" s="1">
        <f t="shared" si="4"/>
        <v>14861.13705708907</v>
      </c>
      <c r="J50" s="2">
        <f t="shared" si="5"/>
        <v>54490.835875993253</v>
      </c>
    </row>
    <row r="51" spans="1:10" x14ac:dyDescent="0.35">
      <c r="A51" s="3">
        <v>45</v>
      </c>
      <c r="B51" s="8">
        <f t="shared" si="0"/>
        <v>46661</v>
      </c>
      <c r="C51" s="1">
        <f t="shared" si="6"/>
        <v>69171.821074897001</v>
      </c>
      <c r="D51" s="1">
        <f t="shared" si="7"/>
        <v>20800.774510120304</v>
      </c>
      <c r="E51" s="1">
        <f t="shared" si="8"/>
        <v>9202108.7021428123</v>
      </c>
      <c r="F51" s="7">
        <f t="shared" si="1"/>
        <v>0.71445113978129082</v>
      </c>
      <c r="G51" s="1">
        <f t="shared" si="2"/>
        <v>49419.886407707672</v>
      </c>
      <c r="H51" s="2">
        <f t="shared" si="3"/>
        <v>185324.57402890376</v>
      </c>
      <c r="I51" s="1">
        <f t="shared" si="4"/>
        <v>14861.137057089072</v>
      </c>
      <c r="J51" s="2">
        <f t="shared" si="5"/>
        <v>55729.263964084021</v>
      </c>
    </row>
    <row r="52" spans="1:10" x14ac:dyDescent="0.35">
      <c r="A52" s="3">
        <v>46</v>
      </c>
      <c r="B52" s="8">
        <f t="shared" si="0"/>
        <v>46692</v>
      </c>
      <c r="C52" s="1">
        <f t="shared" si="6"/>
        <v>69015.815266071091</v>
      </c>
      <c r="D52" s="1">
        <f t="shared" si="7"/>
        <v>20956.780318946214</v>
      </c>
      <c r="E52" s="1">
        <f t="shared" si="8"/>
        <v>9181151.9218238667</v>
      </c>
      <c r="F52" s="7">
        <f t="shared" si="1"/>
        <v>0.70913264494420902</v>
      </c>
      <c r="G52" s="1">
        <f t="shared" si="2"/>
        <v>48941.367622609912</v>
      </c>
      <c r="H52" s="2">
        <f t="shared" si="3"/>
        <v>187608.57588667134</v>
      </c>
      <c r="I52" s="1">
        <f t="shared" si="4"/>
        <v>14861.137057089072</v>
      </c>
      <c r="J52" s="2">
        <f t="shared" si="5"/>
        <v>56967.692052174782</v>
      </c>
    </row>
    <row r="53" spans="1:10" x14ac:dyDescent="0.35">
      <c r="A53" s="3">
        <v>47</v>
      </c>
      <c r="B53" s="8">
        <f t="shared" si="0"/>
        <v>46722</v>
      </c>
      <c r="C53" s="1">
        <f t="shared" si="6"/>
        <v>68858.639413679004</v>
      </c>
      <c r="D53" s="1">
        <f t="shared" si="7"/>
        <v>21113.956171338301</v>
      </c>
      <c r="E53" s="1">
        <f t="shared" si="8"/>
        <v>9160037.9656525292</v>
      </c>
      <c r="F53" s="7">
        <f t="shared" si="1"/>
        <v>0.70385374188010819</v>
      </c>
      <c r="G53" s="1">
        <f t="shared" si="2"/>
        <v>48466.411012091063</v>
      </c>
      <c r="H53" s="2">
        <f t="shared" si="3"/>
        <v>189826.77646402334</v>
      </c>
      <c r="I53" s="1">
        <f t="shared" si="4"/>
        <v>14861.137057089065</v>
      </c>
      <c r="J53" s="2">
        <f t="shared" si="5"/>
        <v>58206.120140265499</v>
      </c>
    </row>
    <row r="54" spans="1:10" x14ac:dyDescent="0.35">
      <c r="A54" s="3">
        <v>48</v>
      </c>
      <c r="B54" s="8">
        <f t="shared" si="0"/>
        <v>46753</v>
      </c>
      <c r="C54" s="1">
        <f t="shared" si="6"/>
        <v>68700.284742393967</v>
      </c>
      <c r="D54" s="1">
        <f t="shared" si="7"/>
        <v>21272.310842623338</v>
      </c>
      <c r="E54" s="1">
        <f t="shared" si="8"/>
        <v>9138765.6548099052</v>
      </c>
      <c r="F54" s="7">
        <f t="shared" si="1"/>
        <v>0.69861413586114962</v>
      </c>
      <c r="G54" s="1">
        <f t="shared" si="2"/>
        <v>47994.990058722484</v>
      </c>
      <c r="H54" s="2">
        <f t="shared" si="3"/>
        <v>191979.96023488994</v>
      </c>
      <c r="I54" s="1">
        <f t="shared" si="4"/>
        <v>14861.137057089067</v>
      </c>
      <c r="J54" s="2">
        <f t="shared" si="5"/>
        <v>59444.548228356267</v>
      </c>
    </row>
    <row r="55" spans="1:10" x14ac:dyDescent="0.35">
      <c r="A55" s="3">
        <v>49</v>
      </c>
      <c r="B55" s="8">
        <f t="shared" si="0"/>
        <v>46784</v>
      </c>
      <c r="C55" s="1">
        <f t="shared" si="6"/>
        <v>68540.742411074287</v>
      </c>
      <c r="D55" s="1">
        <f t="shared" si="7"/>
        <v>21431.853173943018</v>
      </c>
      <c r="E55" s="1">
        <f t="shared" si="8"/>
        <v>9117333.801635962</v>
      </c>
      <c r="F55" s="7">
        <f t="shared" si="1"/>
        <v>0.6934135343534984</v>
      </c>
      <c r="G55" s="1">
        <f t="shared" si="2"/>
        <v>47527.078442475744</v>
      </c>
      <c r="H55" s="2">
        <f t="shared" si="3"/>
        <v>194068.90364010926</v>
      </c>
      <c r="I55" s="1">
        <f t="shared" si="4"/>
        <v>14861.13705708907</v>
      </c>
      <c r="J55" s="2">
        <f t="shared" si="5"/>
        <v>60682.976316447035</v>
      </c>
    </row>
    <row r="56" spans="1:10" x14ac:dyDescent="0.35">
      <c r="A56" s="3">
        <v>50</v>
      </c>
      <c r="B56" s="8">
        <f t="shared" si="0"/>
        <v>46813</v>
      </c>
      <c r="C56" s="1">
        <f t="shared" si="6"/>
        <v>68380.003512269715</v>
      </c>
      <c r="D56" s="1">
        <f t="shared" si="7"/>
        <v>21592.59207274759</v>
      </c>
      <c r="E56" s="1">
        <f t="shared" si="8"/>
        <v>9095741.2095632143</v>
      </c>
      <c r="F56" s="7">
        <f t="shared" si="1"/>
        <v>0.68825164700099073</v>
      </c>
      <c r="G56" s="1">
        <f t="shared" si="2"/>
        <v>47062.65003925316</v>
      </c>
      <c r="H56" s="2">
        <f t="shared" si="3"/>
        <v>196094.37516355485</v>
      </c>
      <c r="I56" s="1">
        <f t="shared" si="4"/>
        <v>14861.137057089065</v>
      </c>
      <c r="J56" s="2">
        <f t="shared" si="5"/>
        <v>61921.404404537774</v>
      </c>
    </row>
    <row r="57" spans="1:10" x14ac:dyDescent="0.35">
      <c r="A57" s="3">
        <v>51</v>
      </c>
      <c r="B57" s="8">
        <f t="shared" si="0"/>
        <v>46844</v>
      </c>
      <c r="C57" s="1">
        <f t="shared" si="6"/>
        <v>68218.059071724099</v>
      </c>
      <c r="D57" s="1">
        <f t="shared" si="7"/>
        <v>21754.536513293206</v>
      </c>
      <c r="E57" s="1">
        <f t="shared" si="8"/>
        <v>9073986.6730499212</v>
      </c>
      <c r="F57" s="7">
        <f t="shared" si="1"/>
        <v>0.68312818560892385</v>
      </c>
      <c r="G57" s="1">
        <f t="shared" si="2"/>
        <v>46601.678919429272</v>
      </c>
      <c r="H57" s="2">
        <f t="shared" si="3"/>
        <v>198057.13540757442</v>
      </c>
      <c r="I57" s="1">
        <f t="shared" si="4"/>
        <v>14861.137057089072</v>
      </c>
      <c r="J57" s="2">
        <f t="shared" si="5"/>
        <v>63159.832492628557</v>
      </c>
    </row>
    <row r="58" spans="1:10" x14ac:dyDescent="0.35">
      <c r="A58" s="3">
        <v>52</v>
      </c>
      <c r="B58" s="8">
        <f t="shared" si="0"/>
        <v>46874</v>
      </c>
      <c r="C58" s="1">
        <f t="shared" si="6"/>
        <v>68054.900047874413</v>
      </c>
      <c r="D58" s="1">
        <f t="shared" si="7"/>
        <v>21917.695537142892</v>
      </c>
      <c r="E58" s="1">
        <f t="shared" si="8"/>
        <v>9052068.9775127787</v>
      </c>
      <c r="F58" s="7">
        <f t="shared" si="1"/>
        <v>0.678042864127964</v>
      </c>
      <c r="G58" s="1">
        <f t="shared" si="2"/>
        <v>46144.139346403084</v>
      </c>
      <c r="H58" s="2">
        <f t="shared" si="3"/>
        <v>199957.93716774668</v>
      </c>
      <c r="I58" s="1">
        <f t="shared" si="4"/>
        <v>14861.137057089061</v>
      </c>
      <c r="J58" s="2">
        <f t="shared" si="5"/>
        <v>64398.260580719259</v>
      </c>
    </row>
    <row r="59" spans="1:10" x14ac:dyDescent="0.35">
      <c r="A59" s="3">
        <v>53</v>
      </c>
      <c r="B59" s="8">
        <f t="shared" si="0"/>
        <v>46905</v>
      </c>
      <c r="C59" s="1">
        <f t="shared" si="6"/>
        <v>67890.517331345836</v>
      </c>
      <c r="D59" s="1">
        <f t="shared" si="7"/>
        <v>22082.078253671469</v>
      </c>
      <c r="E59" s="1">
        <f t="shared" si="8"/>
        <v>9029986.8992591072</v>
      </c>
      <c r="F59" s="7">
        <f t="shared" si="1"/>
        <v>0.6729953986381777</v>
      </c>
      <c r="G59" s="1">
        <f t="shared" si="2"/>
        <v>45690.005775161204</v>
      </c>
      <c r="H59" s="2">
        <f t="shared" si="3"/>
        <v>201797.525506962</v>
      </c>
      <c r="I59" s="1">
        <f t="shared" si="4"/>
        <v>14861.137057089065</v>
      </c>
      <c r="J59" s="2">
        <f t="shared" si="5"/>
        <v>65636.688668810035</v>
      </c>
    </row>
    <row r="60" spans="1:10" x14ac:dyDescent="0.35">
      <c r="A60" s="3">
        <v>54</v>
      </c>
      <c r="B60" s="8">
        <f t="shared" si="0"/>
        <v>46935</v>
      </c>
      <c r="C60" s="1">
        <f t="shared" si="6"/>
        <v>67724.901744443298</v>
      </c>
      <c r="D60" s="1">
        <f t="shared" si="7"/>
        <v>22247.693840574007</v>
      </c>
      <c r="E60" s="1">
        <f t="shared" si="8"/>
        <v>9007739.2054185327</v>
      </c>
      <c r="F60" s="7">
        <f t="shared" si="1"/>
        <v>0.66798550733317863</v>
      </c>
      <c r="G60" s="1">
        <f t="shared" si="2"/>
        <v>45239.252850851633</v>
      </c>
      <c r="H60" s="2">
        <f t="shared" si="3"/>
        <v>203576.63782883235</v>
      </c>
      <c r="I60" s="1">
        <f t="shared" si="4"/>
        <v>14861.137057089061</v>
      </c>
      <c r="J60" s="2">
        <f t="shared" si="5"/>
        <v>66875.116756900781</v>
      </c>
    </row>
    <row r="61" spans="1:10" x14ac:dyDescent="0.35">
      <c r="A61" s="3">
        <v>55</v>
      </c>
      <c r="B61" s="8">
        <f t="shared" si="0"/>
        <v>46966</v>
      </c>
      <c r="C61" s="1">
        <f t="shared" si="6"/>
        <v>67558.044040638997</v>
      </c>
      <c r="D61" s="1">
        <f t="shared" si="7"/>
        <v>22414.551544378308</v>
      </c>
      <c r="E61" s="1">
        <f t="shared" si="8"/>
        <v>8985324.6538741551</v>
      </c>
      <c r="F61" s="7">
        <f t="shared" si="1"/>
        <v>0.6630129105043957</v>
      </c>
      <c r="G61" s="1">
        <f t="shared" si="2"/>
        <v>44791.85540736821</v>
      </c>
      <c r="H61" s="2">
        <f t="shared" si="3"/>
        <v>205296.00395043762</v>
      </c>
      <c r="I61" s="1">
        <f t="shared" si="4"/>
        <v>14861.137057089059</v>
      </c>
      <c r="J61" s="2">
        <f t="shared" si="5"/>
        <v>68113.544844991513</v>
      </c>
    </row>
    <row r="62" spans="1:10" x14ac:dyDescent="0.35">
      <c r="A62" s="3">
        <v>56</v>
      </c>
      <c r="B62" s="8">
        <f t="shared" si="0"/>
        <v>46997</v>
      </c>
      <c r="C62" s="1">
        <f t="shared" si="6"/>
        <v>67389.934904056165</v>
      </c>
      <c r="D62" s="1">
        <f t="shared" si="7"/>
        <v>22582.66068096114</v>
      </c>
      <c r="E62" s="1">
        <f t="shared" si="8"/>
        <v>8962741.9931931943</v>
      </c>
      <c r="F62" s="7">
        <f t="shared" si="1"/>
        <v>0.65807733052545481</v>
      </c>
      <c r="G62" s="1">
        <f t="shared" si="2"/>
        <v>44347.78846594545</v>
      </c>
      <c r="H62" s="2">
        <f t="shared" si="3"/>
        <v>206956.34617441212</v>
      </c>
      <c r="I62" s="1">
        <f t="shared" si="4"/>
        <v>14861.137057089056</v>
      </c>
      <c r="J62" s="2">
        <f t="shared" si="5"/>
        <v>69351.972933082259</v>
      </c>
    </row>
    <row r="63" spans="1:10" x14ac:dyDescent="0.35">
      <c r="A63" s="3">
        <v>57</v>
      </c>
      <c r="B63" s="8">
        <f t="shared" si="0"/>
        <v>47027</v>
      </c>
      <c r="C63" s="1">
        <f t="shared" si="6"/>
        <v>67220.564948948959</v>
      </c>
      <c r="D63" s="1">
        <f t="shared" si="7"/>
        <v>22752.030636068346</v>
      </c>
      <c r="E63" s="1">
        <f t="shared" si="8"/>
        <v>8939989.9625571258</v>
      </c>
      <c r="F63" s="7">
        <f t="shared" si="1"/>
        <v>0.65317849183667964</v>
      </c>
      <c r="G63" s="1">
        <f t="shared" si="2"/>
        <v>43907.027233764049</v>
      </c>
      <c r="H63" s="2">
        <f t="shared" si="3"/>
        <v>208558.37936037924</v>
      </c>
      <c r="I63" s="1">
        <f t="shared" si="4"/>
        <v>14861.137057089054</v>
      </c>
      <c r="J63" s="2">
        <f t="shared" si="5"/>
        <v>70590.401021173006</v>
      </c>
    </row>
    <row r="64" spans="1:10" x14ac:dyDescent="0.35">
      <c r="A64" s="3">
        <v>58</v>
      </c>
      <c r="B64" s="8">
        <f t="shared" si="0"/>
        <v>47058</v>
      </c>
      <c r="C64" s="1">
        <f t="shared" si="6"/>
        <v>67049.924719178438</v>
      </c>
      <c r="D64" s="1">
        <f t="shared" si="7"/>
        <v>22922.670865838867</v>
      </c>
      <c r="E64" s="1">
        <f t="shared" si="8"/>
        <v>8917067.2916912865</v>
      </c>
      <c r="F64" s="7">
        <f t="shared" si="1"/>
        <v>0.6483161209297067</v>
      </c>
      <c r="G64" s="1">
        <f t="shared" si="2"/>
        <v>43469.547102566619</v>
      </c>
      <c r="H64" s="2">
        <f t="shared" si="3"/>
        <v>210102.81099573863</v>
      </c>
      <c r="I64" s="1">
        <f t="shared" si="4"/>
        <v>14861.137057089056</v>
      </c>
      <c r="J64" s="2">
        <f t="shared" si="5"/>
        <v>71828.829109263766</v>
      </c>
    </row>
    <row r="65" spans="1:10" x14ac:dyDescent="0.35">
      <c r="A65" s="3">
        <v>59</v>
      </c>
      <c r="B65" s="8">
        <f t="shared" si="0"/>
        <v>47088</v>
      </c>
      <c r="C65" s="1">
        <f t="shared" si="6"/>
        <v>66878.004687684646</v>
      </c>
      <c r="D65" s="1">
        <f t="shared" si="7"/>
        <v>23094.590897332659</v>
      </c>
      <c r="E65" s="1">
        <f t="shared" si="8"/>
        <v>8893972.7007939536</v>
      </c>
      <c r="F65" s="7">
        <f t="shared" si="1"/>
        <v>0.64348994633221512</v>
      </c>
      <c r="G65" s="1">
        <f t="shared" si="2"/>
        <v>43035.323647283825</v>
      </c>
      <c r="H65" s="2">
        <f t="shared" si="3"/>
        <v>211590.34126581217</v>
      </c>
      <c r="I65" s="1">
        <f t="shared" si="4"/>
        <v>14861.137057089056</v>
      </c>
      <c r="J65" s="2">
        <f t="shared" si="5"/>
        <v>73067.257197354527</v>
      </c>
    </row>
    <row r="66" spans="1:10" x14ac:dyDescent="0.35">
      <c r="A66" s="3">
        <v>60</v>
      </c>
      <c r="B66" s="8">
        <f t="shared" si="0"/>
        <v>47119</v>
      </c>
      <c r="C66" s="1">
        <f t="shared" si="6"/>
        <v>66704.795255954654</v>
      </c>
      <c r="D66" s="1">
        <f t="shared" si="7"/>
        <v>23267.800329062651</v>
      </c>
      <c r="E66" s="1">
        <f t="shared" si="8"/>
        <v>8870704.9004648905</v>
      </c>
      <c r="F66" s="7">
        <f t="shared" si="1"/>
        <v>0.6386996985927692</v>
      </c>
      <c r="G66" s="1">
        <f t="shared" si="2"/>
        <v>42604.33262467062</v>
      </c>
      <c r="H66" s="2">
        <f t="shared" si="3"/>
        <v>213021.66312335309</v>
      </c>
      <c r="I66" s="1">
        <f t="shared" si="4"/>
        <v>14861.137057089052</v>
      </c>
      <c r="J66" s="2">
        <f t="shared" si="5"/>
        <v>74305.685285445259</v>
      </c>
    </row>
    <row r="67" spans="1:10" x14ac:dyDescent="0.35">
      <c r="A67" s="3">
        <v>61</v>
      </c>
      <c r="B67" s="8">
        <f t="shared" si="0"/>
        <v>47150</v>
      </c>
      <c r="C67" s="1">
        <f t="shared" si="6"/>
        <v>66530.286753486682</v>
      </c>
      <c r="D67" s="1">
        <f t="shared" si="7"/>
        <v>23442.308831530623</v>
      </c>
      <c r="E67" s="1">
        <f t="shared" si="8"/>
        <v>8847262.5916333608</v>
      </c>
      <c r="F67" s="7">
        <f t="shared" si="1"/>
        <v>0.63394511026577594</v>
      </c>
      <c r="G67" s="1">
        <f t="shared" si="2"/>
        <v>42176.549971952809</v>
      </c>
      <c r="H67" s="2">
        <f t="shared" si="3"/>
        <v>214397.46235742676</v>
      </c>
      <c r="I67" s="1">
        <f t="shared" si="4"/>
        <v>14861.137057089054</v>
      </c>
      <c r="J67" s="2">
        <f t="shared" si="5"/>
        <v>75544.11337353602</v>
      </c>
    </row>
    <row r="68" spans="1:10" x14ac:dyDescent="0.35">
      <c r="A68" s="3">
        <v>62</v>
      </c>
      <c r="B68" s="8">
        <f t="shared" si="0"/>
        <v>47178</v>
      </c>
      <c r="C68" s="1">
        <f t="shared" si="6"/>
        <v>66354.469437250198</v>
      </c>
      <c r="D68" s="1">
        <f t="shared" si="7"/>
        <v>23618.126147767107</v>
      </c>
      <c r="E68" s="1">
        <f t="shared" si="8"/>
        <v>8823644.4654855933</v>
      </c>
      <c r="F68" s="7">
        <f t="shared" si="1"/>
        <v>0.62922591589655164</v>
      </c>
      <c r="G68" s="1">
        <f t="shared" si="2"/>
        <v>41751.951805483499</v>
      </c>
      <c r="H68" s="2">
        <f t="shared" si="3"/>
        <v>215718.41766166475</v>
      </c>
      <c r="I68" s="1">
        <f t="shared" si="4"/>
        <v>14861.137057089052</v>
      </c>
      <c r="J68" s="2">
        <f t="shared" si="5"/>
        <v>76782.541461626781</v>
      </c>
    </row>
    <row r="69" spans="1:10" x14ac:dyDescent="0.35">
      <c r="A69" s="3">
        <v>63</v>
      </c>
      <c r="B69" s="8">
        <f t="shared" si="0"/>
        <v>47209</v>
      </c>
      <c r="C69" s="1">
        <f t="shared" si="6"/>
        <v>66177.333491141952</v>
      </c>
      <c r="D69" s="1">
        <f t="shared" si="7"/>
        <v>23795.262093875353</v>
      </c>
      <c r="E69" s="1">
        <f t="shared" si="8"/>
        <v>8799849.2033917177</v>
      </c>
      <c r="F69" s="7">
        <f t="shared" si="1"/>
        <v>0.6245418520065027</v>
      </c>
      <c r="G69" s="1">
        <f t="shared" si="2"/>
        <v>41330.514419409752</v>
      </c>
      <c r="H69" s="2">
        <f t="shared" si="3"/>
        <v>216985.20070190119</v>
      </c>
      <c r="I69" s="1">
        <f t="shared" si="4"/>
        <v>14861.137057089045</v>
      </c>
      <c r="J69" s="2">
        <f t="shared" si="5"/>
        <v>78020.969549717483</v>
      </c>
    </row>
    <row r="70" spans="1:10" x14ac:dyDescent="0.35">
      <c r="A70" s="3">
        <v>64</v>
      </c>
      <c r="B70" s="8">
        <f t="shared" si="0"/>
        <v>47239</v>
      </c>
      <c r="C70" s="1">
        <f t="shared" si="6"/>
        <v>65998.869025437874</v>
      </c>
      <c r="D70" s="1">
        <f t="shared" si="7"/>
        <v>23973.726559579431</v>
      </c>
      <c r="E70" s="1">
        <f t="shared" si="8"/>
        <v>8775875.4768321384</v>
      </c>
      <c r="F70" s="7">
        <f t="shared" si="1"/>
        <v>0.61989265707841479</v>
      </c>
      <c r="G70" s="1">
        <f t="shared" si="2"/>
        <v>40912.214284348971</v>
      </c>
      <c r="H70" s="2">
        <f t="shared" si="3"/>
        <v>218198.47618319449</v>
      </c>
      <c r="I70" s="1">
        <f t="shared" si="4"/>
        <v>14861.137057089058</v>
      </c>
      <c r="J70" s="2">
        <f t="shared" si="5"/>
        <v>79259.397637808303</v>
      </c>
    </row>
    <row r="71" spans="1:10" x14ac:dyDescent="0.35">
      <c r="A71" s="3">
        <v>65</v>
      </c>
      <c r="B71" s="8">
        <f t="shared" ref="B71:B134" si="9">EDATE($B$1,$A71)</f>
        <v>47270</v>
      </c>
      <c r="C71" s="1">
        <f t="shared" si="6"/>
        <v>65819.066076241041</v>
      </c>
      <c r="D71" s="1">
        <f t="shared" si="7"/>
        <v>24153.529508776264</v>
      </c>
      <c r="E71" s="1">
        <f t="shared" si="8"/>
        <v>8751721.9473233614</v>
      </c>
      <c r="F71" s="7">
        <f t="shared" ref="F71:F134" si="10">POWER(1+$B$2/12,-$A71)</f>
        <v>0.61527807154185088</v>
      </c>
      <c r="G71" s="1">
        <f t="shared" ref="G71:G134" si="11">$F71*$C71</f>
        <v>40497.028046075247</v>
      </c>
      <c r="H71" s="2">
        <f t="shared" ref="H71:H134" si="12">$A71/12*G71</f>
        <v>219358.90191624092</v>
      </c>
      <c r="I71" s="1">
        <f t="shared" ref="I71:I134" si="13">$F71*$D71</f>
        <v>14861.137057089049</v>
      </c>
      <c r="J71" s="2">
        <f t="shared" ref="J71:J134" si="14">$A71/12*I71</f>
        <v>80497.82572589902</v>
      </c>
    </row>
    <row r="72" spans="1:10" x14ac:dyDescent="0.35">
      <c r="A72" s="3">
        <v>66</v>
      </c>
      <c r="B72" s="8">
        <f t="shared" si="9"/>
        <v>47300</v>
      </c>
      <c r="C72" s="1">
        <f t="shared" ref="C72:C135" si="15">$B$2/12*E71</f>
        <v>65637.914604925201</v>
      </c>
      <c r="D72" s="1">
        <f t="shared" ref="D72:D135" si="16">$B$5-C72</f>
        <v>24334.680980092104</v>
      </c>
      <c r="E72" s="1">
        <f t="shared" ref="E72:E135" si="17">E71-D72</f>
        <v>8727387.2663432695</v>
      </c>
      <c r="F72" s="7">
        <f t="shared" si="10"/>
        <v>0.61069783775866082</v>
      </c>
      <c r="G72" s="1">
        <f t="shared" si="11"/>
        <v>40084.932524215445</v>
      </c>
      <c r="H72" s="2">
        <f t="shared" si="12"/>
        <v>220467.12888318495</v>
      </c>
      <c r="I72" s="1">
        <f t="shared" si="13"/>
        <v>14861.137057089058</v>
      </c>
      <c r="J72" s="2">
        <f t="shared" si="14"/>
        <v>81736.25381398981</v>
      </c>
    </row>
    <row r="73" spans="1:10" x14ac:dyDescent="0.35">
      <c r="A73" s="3">
        <v>67</v>
      </c>
      <c r="B73" s="8">
        <f t="shared" si="9"/>
        <v>47331</v>
      </c>
      <c r="C73" s="1">
        <f t="shared" si="15"/>
        <v>65455.40449757452</v>
      </c>
      <c r="D73" s="1">
        <f t="shared" si="16"/>
        <v>24517.191087442785</v>
      </c>
      <c r="E73" s="1">
        <f t="shared" si="17"/>
        <v>8702870.0752558261</v>
      </c>
      <c r="F73" s="7">
        <f t="shared" si="10"/>
        <v>0.60615170000859619</v>
      </c>
      <c r="G73" s="1">
        <f t="shared" si="11"/>
        <v>39675.90471095511</v>
      </c>
      <c r="H73" s="2">
        <f t="shared" si="12"/>
        <v>221523.8013028327</v>
      </c>
      <c r="I73" s="1">
        <f t="shared" si="13"/>
        <v>14861.137057089047</v>
      </c>
      <c r="J73" s="2">
        <f t="shared" si="14"/>
        <v>82974.681902080512</v>
      </c>
    </row>
    <row r="74" spans="1:10" x14ac:dyDescent="0.35">
      <c r="A74" s="3">
        <v>68</v>
      </c>
      <c r="B74" s="8">
        <f t="shared" si="9"/>
        <v>47362</v>
      </c>
      <c r="C74" s="1">
        <f t="shared" si="15"/>
        <v>65271.525564418691</v>
      </c>
      <c r="D74" s="1">
        <f t="shared" si="16"/>
        <v>24701.070020598614</v>
      </c>
      <c r="E74" s="1">
        <f t="shared" si="17"/>
        <v>8678169.0052352268</v>
      </c>
      <c r="F74" s="7">
        <f t="shared" si="10"/>
        <v>0.6016394044750335</v>
      </c>
      <c r="G74" s="1">
        <f t="shared" si="11"/>
        <v>39269.92176975379</v>
      </c>
      <c r="H74" s="2">
        <f t="shared" si="12"/>
        <v>222529.55669527149</v>
      </c>
      <c r="I74" s="1">
        <f t="shared" si="13"/>
        <v>14861.137057089054</v>
      </c>
      <c r="J74" s="2">
        <f t="shared" si="14"/>
        <v>84213.109990171317</v>
      </c>
    </row>
    <row r="75" spans="1:10" x14ac:dyDescent="0.35">
      <c r="A75" s="3">
        <v>69</v>
      </c>
      <c r="B75" s="8">
        <f t="shared" si="9"/>
        <v>47392</v>
      </c>
      <c r="C75" s="1">
        <f t="shared" si="15"/>
        <v>65086.267539264198</v>
      </c>
      <c r="D75" s="1">
        <f t="shared" si="16"/>
        <v>24886.328045753107</v>
      </c>
      <c r="E75" s="1">
        <f t="shared" si="17"/>
        <v>8653282.6771894731</v>
      </c>
      <c r="F75" s="7">
        <f t="shared" si="10"/>
        <v>0.59716069923080251</v>
      </c>
      <c r="G75" s="1">
        <f t="shared" si="11"/>
        <v>38866.961034070089</v>
      </c>
      <c r="H75" s="2">
        <f t="shared" si="12"/>
        <v>223485.02594590301</v>
      </c>
      <c r="I75" s="1">
        <f t="shared" si="13"/>
        <v>14861.137057089056</v>
      </c>
      <c r="J75" s="2">
        <f t="shared" si="14"/>
        <v>85451.538078262078</v>
      </c>
    </row>
    <row r="76" spans="1:10" x14ac:dyDescent="0.35">
      <c r="A76" s="3">
        <v>70</v>
      </c>
      <c r="B76" s="8">
        <f t="shared" si="9"/>
        <v>47423</v>
      </c>
      <c r="C76" s="1">
        <f t="shared" si="15"/>
        <v>64899.620078921049</v>
      </c>
      <c r="D76" s="1">
        <f t="shared" si="16"/>
        <v>25072.975506096256</v>
      </c>
      <c r="E76" s="1">
        <f t="shared" si="17"/>
        <v>8628209.701683376</v>
      </c>
      <c r="F76" s="7">
        <f t="shared" si="10"/>
        <v>0.59271533422412137</v>
      </c>
      <c r="G76" s="1">
        <f t="shared" si="11"/>
        <v>38467.00000609619</v>
      </c>
      <c r="H76" s="2">
        <f t="shared" si="12"/>
        <v>224390.83336889444</v>
      </c>
      <c r="I76" s="1">
        <f t="shared" si="13"/>
        <v>14861.13705708905</v>
      </c>
      <c r="J76" s="2">
        <f t="shared" si="14"/>
        <v>86689.966166352795</v>
      </c>
    </row>
    <row r="77" spans="1:10" x14ac:dyDescent="0.35">
      <c r="A77" s="3">
        <v>71</v>
      </c>
      <c r="B77" s="8">
        <f t="shared" si="9"/>
        <v>47453</v>
      </c>
      <c r="C77" s="1">
        <f t="shared" si="15"/>
        <v>64711.572762625321</v>
      </c>
      <c r="D77" s="1">
        <f t="shared" si="16"/>
        <v>25261.022822391984</v>
      </c>
      <c r="E77" s="1">
        <f t="shared" si="17"/>
        <v>8602948.6788609847</v>
      </c>
      <c r="F77" s="7">
        <f t="shared" si="10"/>
        <v>0.5883030612646365</v>
      </c>
      <c r="G77" s="1">
        <f t="shared" si="11"/>
        <v>38070.01635550175</v>
      </c>
      <c r="H77" s="2">
        <f t="shared" si="12"/>
        <v>225247.59677005204</v>
      </c>
      <c r="I77" s="1">
        <f t="shared" si="13"/>
        <v>14861.137057089052</v>
      </c>
      <c r="J77" s="2">
        <f t="shared" si="14"/>
        <v>87928.39425444357</v>
      </c>
    </row>
    <row r="78" spans="1:10" x14ac:dyDescent="0.35">
      <c r="A78" s="3">
        <v>72</v>
      </c>
      <c r="B78" s="8">
        <f t="shared" si="9"/>
        <v>47484</v>
      </c>
      <c r="C78" s="1">
        <f t="shared" si="15"/>
        <v>64522.115091457381</v>
      </c>
      <c r="D78" s="1">
        <f t="shared" si="16"/>
        <v>25450.480493559924</v>
      </c>
      <c r="E78" s="1">
        <f t="shared" si="17"/>
        <v>8577498.1983674243</v>
      </c>
      <c r="F78" s="7">
        <f t="shared" si="10"/>
        <v>0.58392363400956482</v>
      </c>
      <c r="G78" s="1">
        <f t="shared" si="11"/>
        <v>37675.98791818718</v>
      </c>
      <c r="H78" s="2">
        <f t="shared" si="12"/>
        <v>226055.92750912308</v>
      </c>
      <c r="I78" s="1">
        <f t="shared" si="13"/>
        <v>14861.137057089054</v>
      </c>
      <c r="J78" s="2">
        <f t="shared" si="14"/>
        <v>89166.822342534317</v>
      </c>
    </row>
    <row r="79" spans="1:10" x14ac:dyDescent="0.35">
      <c r="A79" s="3">
        <v>73</v>
      </c>
      <c r="B79" s="8">
        <f t="shared" si="9"/>
        <v>47515</v>
      </c>
      <c r="C79" s="1">
        <f t="shared" si="15"/>
        <v>64331.236487755683</v>
      </c>
      <c r="D79" s="1">
        <f t="shared" si="16"/>
        <v>25641.359097261622</v>
      </c>
      <c r="E79" s="1">
        <f t="shared" si="17"/>
        <v>8551856.8392701633</v>
      </c>
      <c r="F79" s="7">
        <f t="shared" si="10"/>
        <v>0.57957680794994026</v>
      </c>
      <c r="G79" s="1">
        <f t="shared" si="11"/>
        <v>37284.892695046168</v>
      </c>
      <c r="H79" s="2">
        <f t="shared" si="12"/>
        <v>226816.43056153084</v>
      </c>
      <c r="I79" s="1">
        <f t="shared" si="13"/>
        <v>14861.137057089052</v>
      </c>
      <c r="J79" s="2">
        <f t="shared" si="14"/>
        <v>90405.250430625063</v>
      </c>
    </row>
    <row r="80" spans="1:10" x14ac:dyDescent="0.35">
      <c r="A80" s="3">
        <v>74</v>
      </c>
      <c r="B80" s="8">
        <f t="shared" si="9"/>
        <v>47543</v>
      </c>
      <c r="C80" s="1">
        <f t="shared" si="15"/>
        <v>64138.926294526224</v>
      </c>
      <c r="D80" s="1">
        <f t="shared" si="16"/>
        <v>25833.669290491081</v>
      </c>
      <c r="E80" s="1">
        <f t="shared" si="17"/>
        <v>8526023.1699796729</v>
      </c>
      <c r="F80" s="7">
        <f t="shared" si="10"/>
        <v>0.57526234039696289</v>
      </c>
      <c r="G80" s="1">
        <f t="shared" si="11"/>
        <v>36896.708850737457</v>
      </c>
      <c r="H80" s="2">
        <f t="shared" si="12"/>
        <v>227529.70457954766</v>
      </c>
      <c r="I80" s="1">
        <f t="shared" si="13"/>
        <v>14861.137057089047</v>
      </c>
      <c r="J80" s="2">
        <f t="shared" si="14"/>
        <v>91643.678518715795</v>
      </c>
    </row>
    <row r="81" spans="1:10" x14ac:dyDescent="0.35">
      <c r="A81" s="3">
        <v>75</v>
      </c>
      <c r="B81" s="8">
        <f t="shared" si="9"/>
        <v>47574</v>
      </c>
      <c r="C81" s="1">
        <f t="shared" si="15"/>
        <v>63945.173774847543</v>
      </c>
      <c r="D81" s="1">
        <f t="shared" si="16"/>
        <v>26027.421810169762</v>
      </c>
      <c r="E81" s="1">
        <f t="shared" si="17"/>
        <v>8499995.7481695022</v>
      </c>
      <c r="F81" s="7">
        <f t="shared" si="10"/>
        <v>0.57097999046844949</v>
      </c>
      <c r="G81" s="1">
        <f t="shared" si="11"/>
        <v>36511.414712465797</v>
      </c>
      <c r="H81" s="2">
        <f t="shared" si="12"/>
        <v>228196.34195291123</v>
      </c>
      <c r="I81" s="1">
        <f t="shared" si="13"/>
        <v>14861.137057089045</v>
      </c>
      <c r="J81" s="2">
        <f t="shared" si="14"/>
        <v>92882.106606806527</v>
      </c>
    </row>
    <row r="82" spans="1:10" x14ac:dyDescent="0.35">
      <c r="A82" s="3">
        <v>76</v>
      </c>
      <c r="B82" s="8">
        <f t="shared" si="9"/>
        <v>47604</v>
      </c>
      <c r="C82" s="1">
        <f t="shared" si="15"/>
        <v>63749.968111271264</v>
      </c>
      <c r="D82" s="1">
        <f t="shared" si="16"/>
        <v>26222.627473746041</v>
      </c>
      <c r="E82" s="1">
        <f t="shared" si="17"/>
        <v>8473773.1206957567</v>
      </c>
      <c r="F82" s="7">
        <f t="shared" si="10"/>
        <v>0.56672951907538405</v>
      </c>
      <c r="G82" s="1">
        <f t="shared" si="11"/>
        <v>36128.988768771829</v>
      </c>
      <c r="H82" s="2">
        <f t="shared" si="12"/>
        <v>228816.92886888824</v>
      </c>
      <c r="I82" s="1">
        <f t="shared" si="13"/>
        <v>14861.137057089047</v>
      </c>
      <c r="J82" s="2">
        <f t="shared" si="14"/>
        <v>94120.534694897287</v>
      </c>
    </row>
    <row r="83" spans="1:10" x14ac:dyDescent="0.35">
      <c r="A83" s="3">
        <v>77</v>
      </c>
      <c r="B83" s="8">
        <f t="shared" si="9"/>
        <v>47635</v>
      </c>
      <c r="C83" s="1">
        <f t="shared" si="15"/>
        <v>63553.298405218171</v>
      </c>
      <c r="D83" s="1">
        <f t="shared" si="16"/>
        <v>26419.297179799134</v>
      </c>
      <c r="E83" s="1">
        <f t="shared" si="17"/>
        <v>8447353.8235159572</v>
      </c>
      <c r="F83" s="7">
        <f t="shared" si="10"/>
        <v>0.56251068890856981</v>
      </c>
      <c r="G83" s="1">
        <f t="shared" si="11"/>
        <v>35749.409668331187</v>
      </c>
      <c r="H83" s="2">
        <f t="shared" si="12"/>
        <v>229392.04537179178</v>
      </c>
      <c r="I83" s="1">
        <f t="shared" si="13"/>
        <v>14861.137057089047</v>
      </c>
      <c r="J83" s="2">
        <f t="shared" si="14"/>
        <v>95358.962782988048</v>
      </c>
    </row>
    <row r="84" spans="1:10" x14ac:dyDescent="0.35">
      <c r="A84" s="3">
        <v>78</v>
      </c>
      <c r="B84" s="8">
        <f t="shared" si="9"/>
        <v>47665</v>
      </c>
      <c r="C84" s="1">
        <f t="shared" si="15"/>
        <v>63355.153676369679</v>
      </c>
      <c r="D84" s="1">
        <f t="shared" si="16"/>
        <v>26617.441908647626</v>
      </c>
      <c r="E84" s="1">
        <f t="shared" si="17"/>
        <v>8420736.381607309</v>
      </c>
      <c r="F84" s="7">
        <f t="shared" si="10"/>
        <v>0.55832326442537927</v>
      </c>
      <c r="G84" s="1">
        <f t="shared" si="11"/>
        <v>35372.656218762291</v>
      </c>
      <c r="H84" s="2">
        <f t="shared" si="12"/>
        <v>229922.26542195489</v>
      </c>
      <c r="I84" s="1">
        <f t="shared" si="13"/>
        <v>14861.137057089041</v>
      </c>
      <c r="J84" s="2">
        <f t="shared" si="14"/>
        <v>96597.390871078765</v>
      </c>
    </row>
    <row r="85" spans="1:10" x14ac:dyDescent="0.35">
      <c r="A85" s="3">
        <v>79</v>
      </c>
      <c r="B85" s="8">
        <f t="shared" si="9"/>
        <v>47696</v>
      </c>
      <c r="C85" s="1">
        <f t="shared" si="15"/>
        <v>63155.522862054815</v>
      </c>
      <c r="D85" s="1">
        <f t="shared" si="16"/>
        <v>26817.07272296249</v>
      </c>
      <c r="E85" s="1">
        <f t="shared" si="17"/>
        <v>8393919.3088843469</v>
      </c>
      <c r="F85" s="7">
        <f t="shared" si="10"/>
        <v>0.55416701183660477</v>
      </c>
      <c r="G85" s="1">
        <f t="shared" si="11"/>
        <v>34998.707385443297</v>
      </c>
      <c r="H85" s="2">
        <f t="shared" si="12"/>
        <v>230408.15695416837</v>
      </c>
      <c r="I85" s="1">
        <f t="shared" si="13"/>
        <v>14861.137057089045</v>
      </c>
      <c r="J85" s="2">
        <f t="shared" si="14"/>
        <v>97835.818959169541</v>
      </c>
    </row>
    <row r="86" spans="1:10" x14ac:dyDescent="0.35">
      <c r="A86" s="3">
        <v>80</v>
      </c>
      <c r="B86" s="8">
        <f t="shared" si="9"/>
        <v>47727</v>
      </c>
      <c r="C86" s="1">
        <f t="shared" si="15"/>
        <v>62954.394816632601</v>
      </c>
      <c r="D86" s="1">
        <f t="shared" si="16"/>
        <v>27018.200768384704</v>
      </c>
      <c r="E86" s="1">
        <f t="shared" si="17"/>
        <v>8366901.1081159618</v>
      </c>
      <c r="F86" s="7">
        <f t="shared" si="10"/>
        <v>0.55004169909340428</v>
      </c>
      <c r="G86" s="1">
        <f t="shared" si="11"/>
        <v>34627.542290337602</v>
      </c>
      <c r="H86" s="2">
        <f t="shared" si="12"/>
        <v>230850.28193558403</v>
      </c>
      <c r="I86" s="1">
        <f t="shared" si="13"/>
        <v>14861.137057089043</v>
      </c>
      <c r="J86" s="2">
        <f t="shared" si="14"/>
        <v>99074.247047260287</v>
      </c>
    </row>
    <row r="87" spans="1:10" x14ac:dyDescent="0.35">
      <c r="A87" s="3">
        <v>81</v>
      </c>
      <c r="B87" s="8">
        <f t="shared" si="9"/>
        <v>47757</v>
      </c>
      <c r="C87" s="1">
        <f t="shared" si="15"/>
        <v>62751.758310869714</v>
      </c>
      <c r="D87" s="1">
        <f t="shared" si="16"/>
        <v>27220.837274147591</v>
      </c>
      <c r="E87" s="1">
        <f t="shared" si="17"/>
        <v>8339680.2708418146</v>
      </c>
      <c r="F87" s="7">
        <f t="shared" si="10"/>
        <v>0.54594709587434653</v>
      </c>
      <c r="G87" s="1">
        <f t="shared" si="11"/>
        <v>34259.140210828213</v>
      </c>
      <c r="H87" s="2">
        <f t="shared" si="12"/>
        <v>231249.19642309044</v>
      </c>
      <c r="I87" s="1">
        <f t="shared" si="13"/>
        <v>14861.137057089039</v>
      </c>
      <c r="J87" s="2">
        <f t="shared" si="14"/>
        <v>100312.67513535102</v>
      </c>
    </row>
    <row r="88" spans="1:10" x14ac:dyDescent="0.35">
      <c r="A88" s="3">
        <v>82</v>
      </c>
      <c r="B88" s="8">
        <f t="shared" si="9"/>
        <v>47788</v>
      </c>
      <c r="C88" s="1">
        <f t="shared" si="15"/>
        <v>62547.60203131361</v>
      </c>
      <c r="D88" s="1">
        <f t="shared" si="16"/>
        <v>27424.993553703694</v>
      </c>
      <c r="E88" s="1">
        <f t="shared" si="17"/>
        <v>8312255.2772881109</v>
      </c>
      <c r="F88" s="7">
        <f t="shared" si="10"/>
        <v>0.54188297357255233</v>
      </c>
      <c r="G88" s="1">
        <f t="shared" si="11"/>
        <v>33893.480578560833</v>
      </c>
      <c r="H88" s="2">
        <f t="shared" si="12"/>
        <v>231605.45062016568</v>
      </c>
      <c r="I88" s="1">
        <f t="shared" si="13"/>
        <v>14861.137057089038</v>
      </c>
      <c r="J88" s="2">
        <f t="shared" si="14"/>
        <v>101551.10322344175</v>
      </c>
    </row>
    <row r="89" spans="1:10" x14ac:dyDescent="0.35">
      <c r="A89" s="3">
        <v>83</v>
      </c>
      <c r="B89" s="8">
        <f t="shared" si="9"/>
        <v>47818</v>
      </c>
      <c r="C89" s="1">
        <f t="shared" si="15"/>
        <v>62341.914579660828</v>
      </c>
      <c r="D89" s="1">
        <f t="shared" si="16"/>
        <v>27630.681005356477</v>
      </c>
      <c r="E89" s="1">
        <f t="shared" si="17"/>
        <v>8284624.5962827541</v>
      </c>
      <c r="F89" s="7">
        <f t="shared" si="10"/>
        <v>0.5378491052829304</v>
      </c>
      <c r="G89" s="1">
        <f t="shared" si="11"/>
        <v>33530.542978295452</v>
      </c>
      <c r="H89" s="2">
        <f t="shared" si="12"/>
        <v>231919.58893321021</v>
      </c>
      <c r="I89" s="1">
        <f t="shared" si="13"/>
        <v>14861.137057089041</v>
      </c>
      <c r="J89" s="2">
        <f t="shared" si="14"/>
        <v>102789.53131153254</v>
      </c>
    </row>
    <row r="90" spans="1:10" x14ac:dyDescent="0.35">
      <c r="A90" s="3">
        <v>84</v>
      </c>
      <c r="B90" s="8">
        <f t="shared" si="9"/>
        <v>47849</v>
      </c>
      <c r="C90" s="1">
        <f t="shared" si="15"/>
        <v>62134.684472120651</v>
      </c>
      <c r="D90" s="1">
        <f t="shared" si="16"/>
        <v>27837.911112896654</v>
      </c>
      <c r="E90" s="1">
        <f t="shared" si="17"/>
        <v>8256786.685169857</v>
      </c>
      <c r="F90" s="7">
        <f t="shared" si="10"/>
        <v>0.53384526578950897</v>
      </c>
      <c r="G90" s="1">
        <f t="shared" si="11"/>
        <v>33170.307146766521</v>
      </c>
      <c r="H90" s="2">
        <f t="shared" si="12"/>
        <v>232192.15002736566</v>
      </c>
      <c r="I90" s="1">
        <f t="shared" si="13"/>
        <v>14861.137057089039</v>
      </c>
      <c r="J90" s="2">
        <f t="shared" si="14"/>
        <v>104027.95939962327</v>
      </c>
    </row>
    <row r="91" spans="1:10" x14ac:dyDescent="0.35">
      <c r="A91" s="3">
        <v>85</v>
      </c>
      <c r="B91" s="8">
        <f t="shared" si="9"/>
        <v>47880</v>
      </c>
      <c r="C91" s="1">
        <f t="shared" si="15"/>
        <v>61925.900138773926</v>
      </c>
      <c r="D91" s="1">
        <f t="shared" si="16"/>
        <v>28046.695446243379</v>
      </c>
      <c r="E91" s="1">
        <f t="shared" si="17"/>
        <v>8228739.9897236135</v>
      </c>
      <c r="F91" s="7">
        <f t="shared" si="10"/>
        <v>0.52987123155286253</v>
      </c>
      <c r="G91" s="1">
        <f t="shared" si="11"/>
        <v>32812.752971551723</v>
      </c>
      <c r="H91" s="2">
        <f t="shared" si="12"/>
        <v>232423.6668818247</v>
      </c>
      <c r="I91" s="1">
        <f t="shared" si="13"/>
        <v>14861.137057089041</v>
      </c>
      <c r="J91" s="2">
        <f t="shared" si="14"/>
        <v>105266.38748771403</v>
      </c>
    </row>
    <row r="92" spans="1:10" x14ac:dyDescent="0.35">
      <c r="A92" s="3">
        <v>86</v>
      </c>
      <c r="B92" s="8">
        <f t="shared" si="9"/>
        <v>47908</v>
      </c>
      <c r="C92" s="1">
        <f t="shared" si="15"/>
        <v>61715.549922927101</v>
      </c>
      <c r="D92" s="1">
        <f t="shared" si="16"/>
        <v>28257.045662090204</v>
      </c>
      <c r="E92" s="1">
        <f t="shared" si="17"/>
        <v>8200482.9440615233</v>
      </c>
      <c r="F92" s="7">
        <f t="shared" si="10"/>
        <v>0.5259267806976301</v>
      </c>
      <c r="G92" s="1">
        <f t="shared" si="11"/>
        <v>32457.860489948926</v>
      </c>
      <c r="H92" s="2">
        <f t="shared" si="12"/>
        <v>232614.66684463399</v>
      </c>
      <c r="I92" s="1">
        <f t="shared" si="13"/>
        <v>14861.137057089034</v>
      </c>
      <c r="J92" s="2">
        <f t="shared" si="14"/>
        <v>106504.81557580475</v>
      </c>
    </row>
    <row r="93" spans="1:10" x14ac:dyDescent="0.35">
      <c r="A93" s="3">
        <v>87</v>
      </c>
      <c r="B93" s="8">
        <f t="shared" si="9"/>
        <v>47939</v>
      </c>
      <c r="C93" s="1">
        <f t="shared" si="15"/>
        <v>61503.62208046142</v>
      </c>
      <c r="D93" s="1">
        <f t="shared" si="16"/>
        <v>28468.973504555885</v>
      </c>
      <c r="E93" s="1">
        <f t="shared" si="17"/>
        <v>8172013.970556967</v>
      </c>
      <c r="F93" s="7">
        <f t="shared" si="10"/>
        <v>0.52201169300012917</v>
      </c>
      <c r="G93" s="1">
        <f t="shared" si="11"/>
        <v>32105.609887861792</v>
      </c>
      <c r="H93" s="2">
        <f t="shared" si="12"/>
        <v>232765.67168699799</v>
      </c>
      <c r="I93" s="1">
        <f t="shared" si="13"/>
        <v>14861.137057089038</v>
      </c>
      <c r="J93" s="2">
        <f t="shared" si="14"/>
        <v>107743.24366389553</v>
      </c>
    </row>
    <row r="94" spans="1:10" x14ac:dyDescent="0.35">
      <c r="A94" s="3">
        <v>88</v>
      </c>
      <c r="B94" s="8">
        <f t="shared" si="9"/>
        <v>47969</v>
      </c>
      <c r="C94" s="1">
        <f t="shared" si="15"/>
        <v>61290.104779177251</v>
      </c>
      <c r="D94" s="1">
        <f t="shared" si="16"/>
        <v>28682.490805840054</v>
      </c>
      <c r="E94" s="1">
        <f t="shared" si="17"/>
        <v>8143331.4797511268</v>
      </c>
      <c r="F94" s="7">
        <f t="shared" si="10"/>
        <v>0.51812574987605875</v>
      </c>
      <c r="G94" s="1">
        <f t="shared" si="11"/>
        <v>31755.981498693425</v>
      </c>
      <c r="H94" s="2">
        <f t="shared" si="12"/>
        <v>232877.19765708511</v>
      </c>
      <c r="I94" s="1">
        <f t="shared" si="13"/>
        <v>14861.137057089039</v>
      </c>
      <c r="J94" s="2">
        <f t="shared" si="14"/>
        <v>108981.67175198629</v>
      </c>
    </row>
    <row r="95" spans="1:10" x14ac:dyDescent="0.35">
      <c r="A95" s="3">
        <v>89</v>
      </c>
      <c r="B95" s="8">
        <f t="shared" si="9"/>
        <v>48000</v>
      </c>
      <c r="C95" s="1">
        <f t="shared" si="15"/>
        <v>61074.98609813345</v>
      </c>
      <c r="D95" s="1">
        <f t="shared" si="16"/>
        <v>28897.609486883855</v>
      </c>
      <c r="E95" s="1">
        <f t="shared" si="17"/>
        <v>8114433.8702642433</v>
      </c>
      <c r="F95" s="7">
        <f t="shared" si="10"/>
        <v>0.51426873436829645</v>
      </c>
      <c r="G95" s="1">
        <f t="shared" si="11"/>
        <v>31408.955802248391</v>
      </c>
      <c r="H95" s="2">
        <f t="shared" si="12"/>
        <v>232949.75553334225</v>
      </c>
      <c r="I95" s="1">
        <f t="shared" si="13"/>
        <v>14861.137057089038</v>
      </c>
      <c r="J95" s="2">
        <f t="shared" si="14"/>
        <v>110220.09984007703</v>
      </c>
    </row>
    <row r="96" spans="1:10" x14ac:dyDescent="0.35">
      <c r="A96" s="3">
        <v>90</v>
      </c>
      <c r="B96" s="8">
        <f t="shared" si="9"/>
        <v>48030</v>
      </c>
      <c r="C96" s="1">
        <f t="shared" si="15"/>
        <v>60858.25402698182</v>
      </c>
      <c r="D96" s="1">
        <f t="shared" si="16"/>
        <v>29114.341558035485</v>
      </c>
      <c r="E96" s="1">
        <f t="shared" si="17"/>
        <v>8085319.5287062079</v>
      </c>
      <c r="F96" s="7">
        <f t="shared" si="10"/>
        <v>0.51044043113478543</v>
      </c>
      <c r="G96" s="1">
        <f t="shared" si="11"/>
        <v>31064.513423642893</v>
      </c>
      <c r="H96" s="2">
        <f t="shared" si="12"/>
        <v>232983.85067732169</v>
      </c>
      <c r="I96" s="1">
        <f t="shared" si="13"/>
        <v>14861.137057089034</v>
      </c>
      <c r="J96" s="2">
        <f t="shared" si="14"/>
        <v>111458.52792816775</v>
      </c>
    </row>
    <row r="97" spans="1:10" x14ac:dyDescent="0.35">
      <c r="A97" s="3">
        <v>91</v>
      </c>
      <c r="B97" s="8">
        <f t="shared" si="9"/>
        <v>48061</v>
      </c>
      <c r="C97" s="1">
        <f t="shared" si="15"/>
        <v>60639.896465296559</v>
      </c>
      <c r="D97" s="1">
        <f t="shared" si="16"/>
        <v>29332.699119720746</v>
      </c>
      <c r="E97" s="1">
        <f t="shared" si="17"/>
        <v>8055986.8295864873</v>
      </c>
      <c r="F97" s="7">
        <f t="shared" si="10"/>
        <v>0.50664062643651164</v>
      </c>
      <c r="G97" s="1">
        <f t="shared" si="11"/>
        <v>30722.635132223055</v>
      </c>
      <c r="H97" s="2">
        <f t="shared" si="12"/>
        <v>232979.98308602482</v>
      </c>
      <c r="I97" s="1">
        <f t="shared" si="13"/>
        <v>14861.137057089032</v>
      </c>
      <c r="J97" s="2">
        <f t="shared" si="14"/>
        <v>112696.9560162585</v>
      </c>
    </row>
    <row r="98" spans="1:10" x14ac:dyDescent="0.35">
      <c r="A98" s="3">
        <v>92</v>
      </c>
      <c r="B98" s="8">
        <f t="shared" si="9"/>
        <v>48092</v>
      </c>
      <c r="C98" s="1">
        <f t="shared" si="15"/>
        <v>60419.901221898654</v>
      </c>
      <c r="D98" s="1">
        <f t="shared" si="16"/>
        <v>29552.694363118651</v>
      </c>
      <c r="E98" s="1">
        <f t="shared" si="17"/>
        <v>8026434.1352233682</v>
      </c>
      <c r="F98" s="7">
        <f t="shared" si="10"/>
        <v>0.50286910812556973</v>
      </c>
      <c r="G98" s="1">
        <f t="shared" si="11"/>
        <v>30383.301840491196</v>
      </c>
      <c r="H98" s="2">
        <f t="shared" si="12"/>
        <v>232938.64744376586</v>
      </c>
      <c r="I98" s="1">
        <f t="shared" si="13"/>
        <v>14861.137057089029</v>
      </c>
      <c r="J98" s="2">
        <f t="shared" si="14"/>
        <v>113935.38410434923</v>
      </c>
    </row>
    <row r="99" spans="1:10" x14ac:dyDescent="0.35">
      <c r="A99" s="3">
        <v>93</v>
      </c>
      <c r="B99" s="8">
        <f t="shared" si="9"/>
        <v>48122</v>
      </c>
      <c r="C99" s="1">
        <f t="shared" si="15"/>
        <v>60198.256014175262</v>
      </c>
      <c r="D99" s="1">
        <f t="shared" si="16"/>
        <v>29774.339570842043</v>
      </c>
      <c r="E99" s="1">
        <f t="shared" si="17"/>
        <v>7996659.7956525264</v>
      </c>
      <c r="F99" s="7">
        <f t="shared" si="10"/>
        <v>0.49912566563331989</v>
      </c>
      <c r="G99" s="1">
        <f t="shared" si="11"/>
        <v>30046.494603040232</v>
      </c>
      <c r="H99" s="2">
        <f t="shared" si="12"/>
        <v>232860.33317356178</v>
      </c>
      <c r="I99" s="1">
        <f t="shared" si="13"/>
        <v>14861.13705708903</v>
      </c>
      <c r="J99" s="2">
        <f t="shared" si="14"/>
        <v>115173.81219243999</v>
      </c>
    </row>
    <row r="100" spans="1:10" x14ac:dyDescent="0.35">
      <c r="A100" s="3">
        <v>94</v>
      </c>
      <c r="B100" s="8">
        <f t="shared" si="9"/>
        <v>48153</v>
      </c>
      <c r="C100" s="1">
        <f t="shared" si="15"/>
        <v>59974.948467393944</v>
      </c>
      <c r="D100" s="1">
        <f t="shared" si="16"/>
        <v>29997.647117623361</v>
      </c>
      <c r="E100" s="1">
        <f t="shared" si="17"/>
        <v>7966662.1485349033</v>
      </c>
      <c r="F100" s="7">
        <f t="shared" si="10"/>
        <v>0.49541008995863001</v>
      </c>
      <c r="G100" s="1">
        <f t="shared" si="11"/>
        <v>29712.194615495831</v>
      </c>
      <c r="H100" s="2">
        <f t="shared" si="12"/>
        <v>232745.52448805067</v>
      </c>
      <c r="I100" s="1">
        <f t="shared" si="13"/>
        <v>14861.137057089027</v>
      </c>
      <c r="J100" s="2">
        <f t="shared" si="14"/>
        <v>116412.24028053071</v>
      </c>
    </row>
    <row r="101" spans="1:10" x14ac:dyDescent="0.35">
      <c r="A101" s="3">
        <v>95</v>
      </c>
      <c r="B101" s="8">
        <f t="shared" si="9"/>
        <v>48183</v>
      </c>
      <c r="C101" s="1">
        <f t="shared" si="15"/>
        <v>59749.966114011775</v>
      </c>
      <c r="D101" s="1">
        <f t="shared" si="16"/>
        <v>30222.62947100553</v>
      </c>
      <c r="E101" s="1">
        <f t="shared" si="17"/>
        <v>7936439.5190638974</v>
      </c>
      <c r="F101" s="7">
        <f t="shared" si="10"/>
        <v>0.49172217365620841</v>
      </c>
      <c r="G101" s="1">
        <f t="shared" si="11"/>
        <v>29380.383213466666</v>
      </c>
      <c r="H101" s="2">
        <f t="shared" si="12"/>
        <v>232594.70043994446</v>
      </c>
      <c r="I101" s="1">
        <f t="shared" si="13"/>
        <v>14861.137057089023</v>
      </c>
      <c r="J101" s="2">
        <f t="shared" si="14"/>
        <v>117650.66836862144</v>
      </c>
    </row>
    <row r="102" spans="1:10" x14ac:dyDescent="0.35">
      <c r="A102" s="3">
        <v>96</v>
      </c>
      <c r="B102" s="8">
        <f t="shared" si="9"/>
        <v>48214</v>
      </c>
      <c r="C102" s="1">
        <f t="shared" si="15"/>
        <v>59523.296392979231</v>
      </c>
      <c r="D102" s="1">
        <f t="shared" si="16"/>
        <v>30449.299192038074</v>
      </c>
      <c r="E102" s="1">
        <f t="shared" si="17"/>
        <v>7905990.2198718591</v>
      </c>
      <c r="F102" s="7">
        <f t="shared" si="10"/>
        <v>0.48806171082502087</v>
      </c>
      <c r="G102" s="1">
        <f t="shared" si="11"/>
        <v>29051.041871502239</v>
      </c>
      <c r="H102" s="2">
        <f t="shared" si="12"/>
        <v>232408.33497201791</v>
      </c>
      <c r="I102" s="1">
        <f t="shared" si="13"/>
        <v>14861.137057089029</v>
      </c>
      <c r="J102" s="2">
        <f t="shared" si="14"/>
        <v>118889.09645671223</v>
      </c>
    </row>
    <row r="103" spans="1:10" x14ac:dyDescent="0.35">
      <c r="A103" s="3">
        <v>97</v>
      </c>
      <c r="B103" s="8">
        <f t="shared" si="9"/>
        <v>48245</v>
      </c>
      <c r="C103" s="1">
        <f t="shared" si="15"/>
        <v>59294.926649038942</v>
      </c>
      <c r="D103" s="1">
        <f t="shared" si="16"/>
        <v>30677.668935978363</v>
      </c>
      <c r="E103" s="1">
        <f t="shared" si="17"/>
        <v>7875312.5509358803</v>
      </c>
      <c r="F103" s="7">
        <f t="shared" si="10"/>
        <v>0.48442849709679486</v>
      </c>
      <c r="G103" s="1">
        <f t="shared" si="11"/>
        <v>28724.152202058627</v>
      </c>
      <c r="H103" s="2">
        <f t="shared" si="12"/>
        <v>232186.89696664058</v>
      </c>
      <c r="I103" s="1">
        <f t="shared" si="13"/>
        <v>14861.137057089029</v>
      </c>
      <c r="J103" s="2">
        <f t="shared" si="14"/>
        <v>120127.52454480299</v>
      </c>
    </row>
    <row r="104" spans="1:10" x14ac:dyDescent="0.35">
      <c r="A104" s="3">
        <v>98</v>
      </c>
      <c r="B104" s="8">
        <f t="shared" si="9"/>
        <v>48274</v>
      </c>
      <c r="C104" s="1">
        <f t="shared" si="15"/>
        <v>59064.844132019098</v>
      </c>
      <c r="D104" s="1">
        <f t="shared" si="16"/>
        <v>30907.751452998207</v>
      </c>
      <c r="E104" s="1">
        <f t="shared" si="17"/>
        <v>7844404.799482882</v>
      </c>
      <c r="F104" s="7">
        <f t="shared" si="10"/>
        <v>0.48082232962461013</v>
      </c>
      <c r="G104" s="1">
        <f t="shared" si="11"/>
        <v>28399.695954471907</v>
      </c>
      <c r="H104" s="2">
        <f t="shared" si="12"/>
        <v>231930.85029485388</v>
      </c>
      <c r="I104" s="1">
        <f t="shared" si="13"/>
        <v>14861.137057089027</v>
      </c>
      <c r="J104" s="2">
        <f t="shared" si="14"/>
        <v>121365.95263289371</v>
      </c>
    </row>
    <row r="105" spans="1:10" x14ac:dyDescent="0.35">
      <c r="A105" s="3">
        <v>99</v>
      </c>
      <c r="B105" s="8">
        <f t="shared" si="9"/>
        <v>48305</v>
      </c>
      <c r="C105" s="1">
        <f t="shared" si="15"/>
        <v>58833.035996121616</v>
      </c>
      <c r="D105" s="1">
        <f t="shared" si="16"/>
        <v>31139.559588895689</v>
      </c>
      <c r="E105" s="1">
        <f t="shared" si="17"/>
        <v>7813265.2398939859</v>
      </c>
      <c r="F105" s="7">
        <f t="shared" si="10"/>
        <v>0.4772430070715733</v>
      </c>
      <c r="G105" s="1">
        <f t="shared" si="11"/>
        <v>28077.655013939195</v>
      </c>
      <c r="H105" s="2">
        <f t="shared" si="12"/>
        <v>231640.65386499837</v>
      </c>
      <c r="I105" s="1">
        <f t="shared" si="13"/>
        <v>14861.137057089023</v>
      </c>
      <c r="J105" s="2">
        <f t="shared" si="14"/>
        <v>122604.38072098444</v>
      </c>
    </row>
    <row r="106" spans="1:10" x14ac:dyDescent="0.35">
      <c r="A106" s="3">
        <v>100</v>
      </c>
      <c r="B106" s="8">
        <f t="shared" si="9"/>
        <v>48335</v>
      </c>
      <c r="C106" s="1">
        <f t="shared" si="15"/>
        <v>58599.489299204892</v>
      </c>
      <c r="D106" s="1">
        <f t="shared" si="16"/>
        <v>31373.106285812413</v>
      </c>
      <c r="E106" s="1">
        <f t="shared" si="17"/>
        <v>7781892.1336081736</v>
      </c>
      <c r="F106" s="7">
        <f t="shared" si="10"/>
        <v>0.47369032959957652</v>
      </c>
      <c r="G106" s="1">
        <f t="shared" si="11"/>
        <v>27758.011400507221</v>
      </c>
      <c r="H106" s="2">
        <f t="shared" si="12"/>
        <v>231316.76167089352</v>
      </c>
      <c r="I106" s="1">
        <f t="shared" si="13"/>
        <v>14861.137057089029</v>
      </c>
      <c r="J106" s="2">
        <f t="shared" si="14"/>
        <v>123842.80880907524</v>
      </c>
    </row>
    <row r="107" spans="1:10" x14ac:dyDescent="0.35">
      <c r="A107" s="3">
        <v>101</v>
      </c>
      <c r="B107" s="8">
        <f t="shared" si="9"/>
        <v>48366</v>
      </c>
      <c r="C107" s="1">
        <f t="shared" si="15"/>
        <v>58364.1910020613</v>
      </c>
      <c r="D107" s="1">
        <f t="shared" si="16"/>
        <v>31608.404582956005</v>
      </c>
      <c r="E107" s="1">
        <f t="shared" si="17"/>
        <v>7750283.7290252177</v>
      </c>
      <c r="F107" s="7">
        <f t="shared" si="10"/>
        <v>0.47016409885814042</v>
      </c>
      <c r="G107" s="1">
        <f t="shared" si="11"/>
        <v>27440.747268068539</v>
      </c>
      <c r="H107" s="2">
        <f t="shared" si="12"/>
        <v>230959.62283957686</v>
      </c>
      <c r="I107" s="1">
        <f t="shared" si="13"/>
        <v>14861.137057089027</v>
      </c>
      <c r="J107" s="2">
        <f t="shared" si="14"/>
        <v>125081.23689716596</v>
      </c>
    </row>
    <row r="108" spans="1:10" x14ac:dyDescent="0.35">
      <c r="A108" s="3">
        <v>102</v>
      </c>
      <c r="B108" s="8">
        <f t="shared" si="9"/>
        <v>48396</v>
      </c>
      <c r="C108" s="1">
        <f t="shared" si="15"/>
        <v>58127.127967689128</v>
      </c>
      <c r="D108" s="1">
        <f t="shared" si="16"/>
        <v>31845.467617328177</v>
      </c>
      <c r="E108" s="1">
        <f t="shared" si="17"/>
        <v>7718438.2614078894</v>
      </c>
      <c r="F108" s="7">
        <f t="shared" si="10"/>
        <v>0.46666411797334029</v>
      </c>
      <c r="G108" s="1">
        <f t="shared" si="11"/>
        <v>27125.844903365127</v>
      </c>
      <c r="H108" s="2">
        <f t="shared" si="12"/>
        <v>230569.68167860358</v>
      </c>
      <c r="I108" s="1">
        <f t="shared" si="13"/>
        <v>14861.137057089025</v>
      </c>
      <c r="J108" s="2">
        <f t="shared" si="14"/>
        <v>126319.66498525671</v>
      </c>
    </row>
    <row r="109" spans="1:10" x14ac:dyDescent="0.35">
      <c r="A109" s="3">
        <v>103</v>
      </c>
      <c r="B109" s="8">
        <f t="shared" si="9"/>
        <v>48427</v>
      </c>
      <c r="C109" s="1">
        <f t="shared" si="15"/>
        <v>57888.28696055917</v>
      </c>
      <c r="D109" s="1">
        <f t="shared" si="16"/>
        <v>32084.308624458135</v>
      </c>
      <c r="E109" s="1">
        <f t="shared" si="17"/>
        <v>7686353.9527834309</v>
      </c>
      <c r="F109" s="7">
        <f t="shared" si="10"/>
        <v>0.46319019153681418</v>
      </c>
      <c r="G109" s="1">
        <f t="shared" si="11"/>
        <v>26813.286724999463</v>
      </c>
      <c r="H109" s="2">
        <f t="shared" si="12"/>
        <v>230147.37772291209</v>
      </c>
      <c r="I109" s="1">
        <f t="shared" si="13"/>
        <v>14861.137057089023</v>
      </c>
      <c r="J109" s="2">
        <f t="shared" si="14"/>
        <v>127558.09307334745</v>
      </c>
    </row>
    <row r="110" spans="1:10" x14ac:dyDescent="0.35">
      <c r="A110" s="3">
        <v>104</v>
      </c>
      <c r="B110" s="8">
        <f t="shared" si="9"/>
        <v>48458</v>
      </c>
      <c r="C110" s="1">
        <f t="shared" si="15"/>
        <v>57647.654645875729</v>
      </c>
      <c r="D110" s="1">
        <f t="shared" si="16"/>
        <v>32324.940939141576</v>
      </c>
      <c r="E110" s="1">
        <f t="shared" si="17"/>
        <v>7654029.0118442895</v>
      </c>
      <c r="F110" s="7">
        <f t="shared" si="10"/>
        <v>0.45974212559485278</v>
      </c>
      <c r="G110" s="1">
        <f t="shared" si="11"/>
        <v>26503.055282452897</v>
      </c>
      <c r="H110" s="2">
        <f t="shared" si="12"/>
        <v>229693.14578125841</v>
      </c>
      <c r="I110" s="1">
        <f t="shared" si="13"/>
        <v>14861.137057089025</v>
      </c>
      <c r="J110" s="2">
        <f t="shared" si="14"/>
        <v>128796.52116143821</v>
      </c>
    </row>
    <row r="111" spans="1:10" x14ac:dyDescent="0.35">
      <c r="A111" s="3">
        <v>105</v>
      </c>
      <c r="B111" s="8">
        <f t="shared" si="9"/>
        <v>48488</v>
      </c>
      <c r="C111" s="1">
        <f t="shared" si="15"/>
        <v>57405.217588832173</v>
      </c>
      <c r="D111" s="1">
        <f t="shared" si="16"/>
        <v>32567.377996185132</v>
      </c>
      <c r="E111" s="1">
        <f t="shared" si="17"/>
        <v>7621461.6338481046</v>
      </c>
      <c r="F111" s="7">
        <f t="shared" si="10"/>
        <v>0.45631972763757095</v>
      </c>
      <c r="G111" s="1">
        <f t="shared" si="11"/>
        <v>26195.133255111396</v>
      </c>
      <c r="H111" s="2">
        <f t="shared" si="12"/>
        <v>229207.41598222472</v>
      </c>
      <c r="I111" s="1">
        <f t="shared" si="13"/>
        <v>14861.137057089021</v>
      </c>
      <c r="J111" s="2">
        <f t="shared" si="14"/>
        <v>130034.94924952893</v>
      </c>
    </row>
    <row r="112" spans="1:10" x14ac:dyDescent="0.35">
      <c r="A112" s="3">
        <v>106</v>
      </c>
      <c r="B112" s="8">
        <f t="shared" si="9"/>
        <v>48519</v>
      </c>
      <c r="C112" s="1">
        <f t="shared" si="15"/>
        <v>57160.96225386078</v>
      </c>
      <c r="D112" s="1">
        <f t="shared" si="16"/>
        <v>32811.633331156525</v>
      </c>
      <c r="E112" s="1">
        <f t="shared" si="17"/>
        <v>7588650.0005169483</v>
      </c>
      <c r="F112" s="7">
        <f t="shared" si="10"/>
        <v>0.4529228065881597</v>
      </c>
      <c r="G112" s="1">
        <f t="shared" si="11"/>
        <v>25889.503451298482</v>
      </c>
      <c r="H112" s="2">
        <f t="shared" si="12"/>
        <v>228690.61381980329</v>
      </c>
      <c r="I112" s="1">
        <f t="shared" si="13"/>
        <v>14861.137057089021</v>
      </c>
      <c r="J112" s="2">
        <f t="shared" si="14"/>
        <v>131273.37733761969</v>
      </c>
    </row>
    <row r="113" spans="1:10" x14ac:dyDescent="0.35">
      <c r="A113" s="3">
        <v>107</v>
      </c>
      <c r="B113" s="8">
        <f t="shared" si="9"/>
        <v>48549</v>
      </c>
      <c r="C113" s="1">
        <f t="shared" si="15"/>
        <v>56914.87500387711</v>
      </c>
      <c r="D113" s="1">
        <f t="shared" si="16"/>
        <v>33057.720581140195</v>
      </c>
      <c r="E113" s="1">
        <f t="shared" si="17"/>
        <v>7555592.2799358079</v>
      </c>
      <c r="F113" s="7">
        <f t="shared" si="10"/>
        <v>0.44955117279221801</v>
      </c>
      <c r="G113" s="1">
        <f t="shared" si="11"/>
        <v>25586.148807315447</v>
      </c>
      <c r="H113" s="2">
        <f t="shared" si="12"/>
        <v>228143.16019856272</v>
      </c>
      <c r="I113" s="1">
        <f t="shared" si="13"/>
        <v>14861.137057089018</v>
      </c>
      <c r="J113" s="2">
        <f t="shared" si="14"/>
        <v>132511.80542571039</v>
      </c>
    </row>
    <row r="114" spans="1:10" x14ac:dyDescent="0.35">
      <c r="A114" s="3">
        <v>108</v>
      </c>
      <c r="B114" s="8">
        <f t="shared" si="9"/>
        <v>48580</v>
      </c>
      <c r="C114" s="1">
        <f t="shared" si="15"/>
        <v>56666.942099518557</v>
      </c>
      <c r="D114" s="1">
        <f t="shared" si="16"/>
        <v>33305.653485498748</v>
      </c>
      <c r="E114" s="1">
        <f t="shared" si="17"/>
        <v>7522286.6264503095</v>
      </c>
      <c r="F114" s="7">
        <f t="shared" si="10"/>
        <v>0.4462046380071642</v>
      </c>
      <c r="G114" s="1">
        <f t="shared" si="11"/>
        <v>25285.052386488613</v>
      </c>
      <c r="H114" s="2">
        <f t="shared" si="12"/>
        <v>227565.47147839752</v>
      </c>
      <c r="I114" s="1">
        <f t="shared" si="13"/>
        <v>14861.137057089016</v>
      </c>
      <c r="J114" s="2">
        <f t="shared" si="14"/>
        <v>133750.23351380115</v>
      </c>
    </row>
    <row r="115" spans="1:10" x14ac:dyDescent="0.35">
      <c r="A115" s="3">
        <v>109</v>
      </c>
      <c r="B115" s="8">
        <f t="shared" si="9"/>
        <v>48611</v>
      </c>
      <c r="C115" s="1">
        <f t="shared" si="15"/>
        <v>56417.149698377318</v>
      </c>
      <c r="D115" s="1">
        <f t="shared" si="16"/>
        <v>33555.445886639987</v>
      </c>
      <c r="E115" s="1">
        <f t="shared" si="17"/>
        <v>7488731.1805636697</v>
      </c>
      <c r="F115" s="7">
        <f t="shared" si="10"/>
        <v>0.44288301539172625</v>
      </c>
      <c r="G115" s="1">
        <f t="shared" si="11"/>
        <v>24986.197378223766</v>
      </c>
      <c r="H115" s="2">
        <f t="shared" si="12"/>
        <v>226957.95951886589</v>
      </c>
      <c r="I115" s="1">
        <f t="shared" si="13"/>
        <v>14861.137057089016</v>
      </c>
      <c r="J115" s="2">
        <f t="shared" si="14"/>
        <v>134988.66160189192</v>
      </c>
    </row>
    <row r="116" spans="1:10" x14ac:dyDescent="0.35">
      <c r="A116" s="3">
        <v>110</v>
      </c>
      <c r="B116" s="8">
        <f t="shared" si="9"/>
        <v>48639</v>
      </c>
      <c r="C116" s="1">
        <f t="shared" si="15"/>
        <v>56165.483854227517</v>
      </c>
      <c r="D116" s="1">
        <f t="shared" si="16"/>
        <v>33807.111730789788</v>
      </c>
      <c r="E116" s="1">
        <f t="shared" si="17"/>
        <v>7454924.0688328799</v>
      </c>
      <c r="F116" s="7">
        <f t="shared" si="10"/>
        <v>0.43958611949550985</v>
      </c>
      <c r="G116" s="1">
        <f t="shared" si="11"/>
        <v>24689.567097067586</v>
      </c>
      <c r="H116" s="2">
        <f t="shared" si="12"/>
        <v>226321.03172311952</v>
      </c>
      <c r="I116" s="1">
        <f t="shared" si="13"/>
        <v>14861.137057089012</v>
      </c>
      <c r="J116" s="2">
        <f t="shared" si="14"/>
        <v>136227.08968998259</v>
      </c>
    </row>
    <row r="117" spans="1:10" x14ac:dyDescent="0.35">
      <c r="A117" s="3">
        <v>111</v>
      </c>
      <c r="B117" s="8">
        <f t="shared" si="9"/>
        <v>48670</v>
      </c>
      <c r="C117" s="1">
        <f t="shared" si="15"/>
        <v>55911.930516246597</v>
      </c>
      <c r="D117" s="1">
        <f t="shared" si="16"/>
        <v>34060.665068770708</v>
      </c>
      <c r="E117" s="1">
        <f t="shared" si="17"/>
        <v>7420863.4037641091</v>
      </c>
      <c r="F117" s="7">
        <f t="shared" si="10"/>
        <v>0.43631376624864499</v>
      </c>
      <c r="G117" s="1">
        <f t="shared" si="11"/>
        <v>24395.144981776099</v>
      </c>
      <c r="H117" s="2">
        <f t="shared" si="12"/>
        <v>225655.09108142892</v>
      </c>
      <c r="I117" s="1">
        <f t="shared" si="13"/>
        <v>14861.13705708901</v>
      </c>
      <c r="J117" s="2">
        <f t="shared" si="14"/>
        <v>137465.51777807335</v>
      </c>
    </row>
    <row r="118" spans="1:10" x14ac:dyDescent="0.35">
      <c r="A118" s="3">
        <v>112</v>
      </c>
      <c r="B118" s="8">
        <f t="shared" si="9"/>
        <v>48700</v>
      </c>
      <c r="C118" s="1">
        <f t="shared" si="15"/>
        <v>55656.475528230818</v>
      </c>
      <c r="D118" s="1">
        <f t="shared" si="16"/>
        <v>34316.120056786487</v>
      </c>
      <c r="E118" s="1">
        <f t="shared" si="17"/>
        <v>7386547.2837073226</v>
      </c>
      <c r="F118" s="7">
        <f t="shared" si="10"/>
        <v>0.43306577295150867</v>
      </c>
      <c r="G118" s="1">
        <f t="shared" si="11"/>
        <v>24102.914594390004</v>
      </c>
      <c r="H118" s="2">
        <f t="shared" si="12"/>
        <v>224960.53621430672</v>
      </c>
      <c r="I118" s="1">
        <f t="shared" si="13"/>
        <v>14861.13705708901</v>
      </c>
      <c r="J118" s="2">
        <f t="shared" si="14"/>
        <v>138703.94586616411</v>
      </c>
    </row>
    <row r="119" spans="1:10" x14ac:dyDescent="0.35">
      <c r="A119" s="3">
        <v>113</v>
      </c>
      <c r="B119" s="8">
        <f t="shared" si="9"/>
        <v>48731</v>
      </c>
      <c r="C119" s="1">
        <f t="shared" si="15"/>
        <v>55399.104627804918</v>
      </c>
      <c r="D119" s="1">
        <f t="shared" si="16"/>
        <v>34573.490957212387</v>
      </c>
      <c r="E119" s="1">
        <f t="shared" si="17"/>
        <v>7351973.7927501099</v>
      </c>
      <c r="F119" s="7">
        <f t="shared" si="10"/>
        <v>0.4298419582645247</v>
      </c>
      <c r="G119" s="1">
        <f t="shared" si="11"/>
        <v>23812.859619316958</v>
      </c>
      <c r="H119" s="2">
        <f t="shared" si="12"/>
        <v>224237.76141523468</v>
      </c>
      <c r="I119" s="1">
        <f t="shared" si="13"/>
        <v>14861.137057089009</v>
      </c>
      <c r="J119" s="2">
        <f t="shared" si="14"/>
        <v>139942.37395425481</v>
      </c>
    </row>
    <row r="120" spans="1:10" x14ac:dyDescent="0.35">
      <c r="A120" s="3">
        <v>114</v>
      </c>
      <c r="B120" s="8">
        <f t="shared" si="9"/>
        <v>48761</v>
      </c>
      <c r="C120" s="1">
        <f t="shared" si="15"/>
        <v>55139.803445625825</v>
      </c>
      <c r="D120" s="1">
        <f t="shared" si="16"/>
        <v>34832.79213939148</v>
      </c>
      <c r="E120" s="1">
        <f t="shared" si="17"/>
        <v>7317141.0006107185</v>
      </c>
      <c r="F120" s="7">
        <f t="shared" si="10"/>
        <v>0.42664214219803931</v>
      </c>
      <c r="G120" s="1">
        <f t="shared" si="11"/>
        <v>23524.963862420631</v>
      </c>
      <c r="H120" s="2">
        <f t="shared" si="12"/>
        <v>223487.15669299598</v>
      </c>
      <c r="I120" s="1">
        <f t="shared" si="13"/>
        <v>14861.137057089007</v>
      </c>
      <c r="J120" s="2">
        <f t="shared" si="14"/>
        <v>141180.80204234557</v>
      </c>
    </row>
    <row r="121" spans="1:10" x14ac:dyDescent="0.35">
      <c r="A121" s="3">
        <v>115</v>
      </c>
      <c r="B121" s="8">
        <f t="shared" si="9"/>
        <v>48792</v>
      </c>
      <c r="C121" s="1">
        <f t="shared" si="15"/>
        <v>54878.557504580385</v>
      </c>
      <c r="D121" s="1">
        <f t="shared" si="16"/>
        <v>35094.03808043692</v>
      </c>
      <c r="E121" s="1">
        <f t="shared" si="17"/>
        <v>7282046.9625302814</v>
      </c>
      <c r="F121" s="7">
        <f t="shared" si="10"/>
        <v>0.42346614610227234</v>
      </c>
      <c r="G121" s="1">
        <f t="shared" si="11"/>
        <v>23239.21125011659</v>
      </c>
      <c r="H121" s="2">
        <f t="shared" si="12"/>
        <v>222709.10781361733</v>
      </c>
      <c r="I121" s="1">
        <f t="shared" si="13"/>
        <v>14861.13705708901</v>
      </c>
      <c r="J121" s="2">
        <f t="shared" si="14"/>
        <v>142419.23013043636</v>
      </c>
    </row>
    <row r="122" spans="1:10" x14ac:dyDescent="0.35">
      <c r="A122" s="3">
        <v>116</v>
      </c>
      <c r="B122" s="8">
        <f t="shared" si="9"/>
        <v>48823</v>
      </c>
      <c r="C122" s="1">
        <f t="shared" si="15"/>
        <v>54615.35221897711</v>
      </c>
      <c r="D122" s="1">
        <f t="shared" si="16"/>
        <v>35357.243366040195</v>
      </c>
      <c r="E122" s="1">
        <f t="shared" si="17"/>
        <v>7246689.7191642411</v>
      </c>
      <c r="F122" s="7">
        <f t="shared" si="10"/>
        <v>0.42031379265734209</v>
      </c>
      <c r="G122" s="1">
        <f t="shared" si="11"/>
        <v>22955.585828474854</v>
      </c>
      <c r="H122" s="2">
        <f t="shared" si="12"/>
        <v>221903.99634192357</v>
      </c>
      <c r="I122" s="1">
        <f t="shared" si="13"/>
        <v>14861.137057089003</v>
      </c>
      <c r="J122" s="2">
        <f t="shared" si="14"/>
        <v>143657.65821852701</v>
      </c>
    </row>
    <row r="123" spans="1:10" x14ac:dyDescent="0.35">
      <c r="A123" s="3">
        <v>117</v>
      </c>
      <c r="B123" s="8">
        <f t="shared" si="9"/>
        <v>48853</v>
      </c>
      <c r="C123" s="1">
        <f t="shared" si="15"/>
        <v>54350.172893731804</v>
      </c>
      <c r="D123" s="1">
        <f t="shared" si="16"/>
        <v>35622.422691285501</v>
      </c>
      <c r="E123" s="1">
        <f t="shared" si="17"/>
        <v>7211067.2964729555</v>
      </c>
      <c r="F123" s="7">
        <f t="shared" si="10"/>
        <v>0.41718490586336687</v>
      </c>
      <c r="G123" s="1">
        <f t="shared" si="11"/>
        <v>22674.071762329215</v>
      </c>
      <c r="H123" s="2">
        <f t="shared" si="12"/>
        <v>221072.19968270985</v>
      </c>
      <c r="I123" s="1">
        <f t="shared" si="13"/>
        <v>14861.137057089005</v>
      </c>
      <c r="J123" s="2">
        <f t="shared" si="14"/>
        <v>144896.0863066178</v>
      </c>
    </row>
    <row r="124" spans="1:10" x14ac:dyDescent="0.35">
      <c r="A124" s="3">
        <v>118</v>
      </c>
      <c r="B124" s="8">
        <f t="shared" si="9"/>
        <v>48884</v>
      </c>
      <c r="C124" s="1">
        <f t="shared" si="15"/>
        <v>54083.004723547165</v>
      </c>
      <c r="D124" s="1">
        <f t="shared" si="16"/>
        <v>35889.59086147014</v>
      </c>
      <c r="E124" s="1">
        <f t="shared" si="17"/>
        <v>7175177.7056114851</v>
      </c>
      <c r="F124" s="7">
        <f t="shared" si="10"/>
        <v>0.414079311030637</v>
      </c>
      <c r="G124" s="1">
        <f t="shared" si="11"/>
        <v>22394.653334393097</v>
      </c>
      <c r="H124" s="2">
        <f t="shared" si="12"/>
        <v>220214.09112153214</v>
      </c>
      <c r="I124" s="1">
        <f t="shared" si="13"/>
        <v>14861.137057089001</v>
      </c>
      <c r="J124" s="2">
        <f t="shared" si="14"/>
        <v>146134.51439470853</v>
      </c>
    </row>
    <row r="125" spans="1:10" x14ac:dyDescent="0.35">
      <c r="A125" s="3">
        <v>119</v>
      </c>
      <c r="B125" s="8">
        <f t="shared" si="9"/>
        <v>48914</v>
      </c>
      <c r="C125" s="1">
        <f t="shared" si="15"/>
        <v>53813.832792086134</v>
      </c>
      <c r="D125" s="1">
        <f t="shared" si="16"/>
        <v>36158.762792931171</v>
      </c>
      <c r="E125" s="1">
        <f t="shared" si="17"/>
        <v>7139018.9428185541</v>
      </c>
      <c r="F125" s="7">
        <f t="shared" si="10"/>
        <v>0.41099683476986298</v>
      </c>
      <c r="G125" s="1">
        <f t="shared" si="11"/>
        <v>22117.314944382058</v>
      </c>
      <c r="H125" s="2">
        <f t="shared" si="12"/>
        <v>219330.03986512206</v>
      </c>
      <c r="I125" s="1">
        <f t="shared" si="13"/>
        <v>14861.137057089001</v>
      </c>
      <c r="J125" s="2">
        <f t="shared" si="14"/>
        <v>147372.94248279926</v>
      </c>
    </row>
    <row r="126" spans="1:10" x14ac:dyDescent="0.35">
      <c r="A126" s="3">
        <v>120</v>
      </c>
      <c r="B126" s="8">
        <f t="shared" si="9"/>
        <v>48945</v>
      </c>
      <c r="C126" s="1">
        <f t="shared" si="15"/>
        <v>53542.642071139155</v>
      </c>
      <c r="D126" s="1">
        <f t="shared" si="16"/>
        <v>36429.95351387815</v>
      </c>
      <c r="E126" s="1">
        <f t="shared" si="17"/>
        <v>7102588.9893046757</v>
      </c>
      <c r="F126" s="7">
        <f t="shared" si="10"/>
        <v>0.40793730498249431</v>
      </c>
      <c r="G126" s="1">
        <f t="shared" si="11"/>
        <v>21842.041108142825</v>
      </c>
      <c r="H126" s="2">
        <f t="shared" si="12"/>
        <v>218420.41108142823</v>
      </c>
      <c r="I126" s="1">
        <f t="shared" si="13"/>
        <v>14861.137057089001</v>
      </c>
      <c r="J126" s="2">
        <f t="shared" si="14"/>
        <v>148611.37057089002</v>
      </c>
    </row>
    <row r="127" spans="1:10" x14ac:dyDescent="0.35">
      <c r="A127" s="3">
        <v>121</v>
      </c>
      <c r="B127" s="8">
        <f t="shared" si="9"/>
        <v>48976</v>
      </c>
      <c r="C127" s="1">
        <f t="shared" si="15"/>
        <v>53269.417419785066</v>
      </c>
      <c r="D127" s="1">
        <f t="shared" si="16"/>
        <v>36703.178165232239</v>
      </c>
      <c r="E127" s="1">
        <f t="shared" si="17"/>
        <v>7065885.8111394439</v>
      </c>
      <c r="F127" s="7">
        <f t="shared" si="10"/>
        <v>0.40490055085111093</v>
      </c>
      <c r="G127" s="1">
        <f t="shared" si="11"/>
        <v>21568.816456788736</v>
      </c>
      <c r="H127" s="2">
        <f t="shared" si="12"/>
        <v>217485.56593928643</v>
      </c>
      <c r="I127" s="1">
        <f t="shared" si="13"/>
        <v>14861.137057089001</v>
      </c>
      <c r="J127" s="2">
        <f t="shared" si="14"/>
        <v>149849.79865898078</v>
      </c>
    </row>
    <row r="128" spans="1:10" x14ac:dyDescent="0.35">
      <c r="A128" s="3">
        <v>122</v>
      </c>
      <c r="B128" s="8">
        <f t="shared" si="9"/>
        <v>49004</v>
      </c>
      <c r="C128" s="1">
        <f t="shared" si="15"/>
        <v>52994.143583545825</v>
      </c>
      <c r="D128" s="1">
        <f t="shared" si="16"/>
        <v>36978.45200147148</v>
      </c>
      <c r="E128" s="1">
        <f t="shared" si="17"/>
        <v>7028907.3591379728</v>
      </c>
      <c r="F128" s="7">
        <f t="shared" si="10"/>
        <v>0.40188640282988675</v>
      </c>
      <c r="G128" s="1">
        <f t="shared" si="11"/>
        <v>21297.625735841757</v>
      </c>
      <c r="H128" s="2">
        <f t="shared" si="12"/>
        <v>216525.86164772452</v>
      </c>
      <c r="I128" s="1">
        <f t="shared" si="13"/>
        <v>14861.137057088999</v>
      </c>
      <c r="J128" s="2">
        <f t="shared" si="14"/>
        <v>151088.22674707149</v>
      </c>
    </row>
    <row r="129" spans="1:10" x14ac:dyDescent="0.35">
      <c r="A129" s="3">
        <v>123</v>
      </c>
      <c r="B129" s="8">
        <f t="shared" si="9"/>
        <v>49035</v>
      </c>
      <c r="C129" s="1">
        <f t="shared" si="15"/>
        <v>52716.805193534798</v>
      </c>
      <c r="D129" s="1">
        <f t="shared" si="16"/>
        <v>37255.790391482507</v>
      </c>
      <c r="E129" s="1">
        <f t="shared" si="17"/>
        <v>6991651.5687464904</v>
      </c>
      <c r="F129" s="7">
        <f t="shared" si="10"/>
        <v>0.39889469263512328</v>
      </c>
      <c r="G129" s="1">
        <f t="shared" si="11"/>
        <v>21028.453804380733</v>
      </c>
      <c r="H129" s="2">
        <f t="shared" si="12"/>
        <v>215541.65149490253</v>
      </c>
      <c r="I129" s="1">
        <f t="shared" si="13"/>
        <v>14861.137057088994</v>
      </c>
      <c r="J129" s="2">
        <f t="shared" si="14"/>
        <v>152326.65483516219</v>
      </c>
    </row>
    <row r="130" spans="1:10" x14ac:dyDescent="0.35">
      <c r="A130" s="3">
        <v>124</v>
      </c>
      <c r="B130" s="8">
        <f t="shared" si="9"/>
        <v>49065</v>
      </c>
      <c r="C130" s="1">
        <f t="shared" si="15"/>
        <v>52437.386765598676</v>
      </c>
      <c r="D130" s="1">
        <f t="shared" si="16"/>
        <v>37535.208819418629</v>
      </c>
      <c r="E130" s="1">
        <f t="shared" si="17"/>
        <v>6954116.3599270722</v>
      </c>
      <c r="F130" s="7">
        <f t="shared" si="10"/>
        <v>0.39592525323585426</v>
      </c>
      <c r="G130" s="1">
        <f t="shared" si="11"/>
        <v>20761.285634196087</v>
      </c>
      <c r="H130" s="2">
        <f t="shared" si="12"/>
        <v>214533.28488669291</v>
      </c>
      <c r="I130" s="1">
        <f t="shared" si="13"/>
        <v>14861.13705708899</v>
      </c>
      <c r="J130" s="2">
        <f t="shared" si="14"/>
        <v>153565.08292325292</v>
      </c>
    </row>
    <row r="131" spans="1:10" x14ac:dyDescent="0.35">
      <c r="A131" s="3">
        <v>125</v>
      </c>
      <c r="B131" s="8">
        <f t="shared" si="9"/>
        <v>49096</v>
      </c>
      <c r="C131" s="1">
        <f t="shared" si="15"/>
        <v>52155.872699453037</v>
      </c>
      <c r="D131" s="1">
        <f t="shared" si="16"/>
        <v>37816.722885564268</v>
      </c>
      <c r="E131" s="1">
        <f t="shared" si="17"/>
        <v>6916299.6370415082</v>
      </c>
      <c r="F131" s="7">
        <f t="shared" si="10"/>
        <v>0.39297791884452049</v>
      </c>
      <c r="G131" s="1">
        <f t="shared" si="11"/>
        <v>20496.106308950799</v>
      </c>
      <c r="H131" s="2">
        <f t="shared" si="12"/>
        <v>213501.10738490414</v>
      </c>
      <c r="I131" s="1">
        <f t="shared" si="13"/>
        <v>14861.137057088996</v>
      </c>
      <c r="J131" s="2">
        <f t="shared" si="14"/>
        <v>154803.51101134371</v>
      </c>
    </row>
    <row r="132" spans="1:10" x14ac:dyDescent="0.35">
      <c r="A132" s="3">
        <v>126</v>
      </c>
      <c r="B132" s="8">
        <f t="shared" si="9"/>
        <v>49126</v>
      </c>
      <c r="C132" s="1">
        <f t="shared" si="15"/>
        <v>51872.247277811308</v>
      </c>
      <c r="D132" s="1">
        <f t="shared" si="16"/>
        <v>38100.348307205997</v>
      </c>
      <c r="E132" s="1">
        <f t="shared" si="17"/>
        <v>6878199.2887343019</v>
      </c>
      <c r="F132" s="7">
        <f t="shared" si="10"/>
        <v>0.39005252490771253</v>
      </c>
      <c r="G132" s="1">
        <f t="shared" si="11"/>
        <v>20232.90102334752</v>
      </c>
      <c r="H132" s="2">
        <f t="shared" si="12"/>
        <v>212445.46074514897</v>
      </c>
      <c r="I132" s="1">
        <f t="shared" si="13"/>
        <v>14861.13705708899</v>
      </c>
      <c r="J132" s="2">
        <f t="shared" si="14"/>
        <v>156041.93909943438</v>
      </c>
    </row>
    <row r="133" spans="1:10" x14ac:dyDescent="0.35">
      <c r="A133" s="3">
        <v>127</v>
      </c>
      <c r="B133" s="8">
        <f t="shared" si="9"/>
        <v>49157</v>
      </c>
      <c r="C133" s="1">
        <f t="shared" si="15"/>
        <v>51586.494665507264</v>
      </c>
      <c r="D133" s="1">
        <f t="shared" si="16"/>
        <v>38386.100919510041</v>
      </c>
      <c r="E133" s="1">
        <f t="shared" si="17"/>
        <v>6839813.1878147917</v>
      </c>
      <c r="F133" s="7">
        <f t="shared" si="10"/>
        <v>0.38714890809698499</v>
      </c>
      <c r="G133" s="1">
        <f t="shared" si="11"/>
        <v>19971.655082302077</v>
      </c>
      <c r="H133" s="2">
        <f t="shared" si="12"/>
        <v>211366.68295436367</v>
      </c>
      <c r="I133" s="1">
        <f t="shared" si="13"/>
        <v>14861.137057088985</v>
      </c>
      <c r="J133" s="2">
        <f t="shared" si="14"/>
        <v>157280.36718752509</v>
      </c>
    </row>
    <row r="134" spans="1:10" x14ac:dyDescent="0.35">
      <c r="A134" s="3">
        <v>128</v>
      </c>
      <c r="B134" s="8">
        <f t="shared" si="9"/>
        <v>49188</v>
      </c>
      <c r="C134" s="1">
        <f t="shared" si="15"/>
        <v>51298.598908610933</v>
      </c>
      <c r="D134" s="1">
        <f t="shared" si="16"/>
        <v>38673.996676406372</v>
      </c>
      <c r="E134" s="1">
        <f t="shared" si="17"/>
        <v>6801139.1911383849</v>
      </c>
      <c r="F134" s="7">
        <f t="shared" si="10"/>
        <v>0.38426690629973709</v>
      </c>
      <c r="G134" s="1">
        <f t="shared" si="11"/>
        <v>19712.353900122991</v>
      </c>
      <c r="H134" s="2">
        <f t="shared" si="12"/>
        <v>210265.10826797856</v>
      </c>
      <c r="I134" s="1">
        <f t="shared" si="13"/>
        <v>14861.13705708899</v>
      </c>
      <c r="J134" s="2">
        <f t="shared" si="14"/>
        <v>158518.79527561588</v>
      </c>
    </row>
    <row r="135" spans="1:10" x14ac:dyDescent="0.35">
      <c r="A135" s="3">
        <v>129</v>
      </c>
      <c r="B135" s="8">
        <f t="shared" ref="B135:B198" si="18">EDATE($B$1,$A135)</f>
        <v>49218</v>
      </c>
      <c r="C135" s="1">
        <f t="shared" si="15"/>
        <v>51008.543933537883</v>
      </c>
      <c r="D135" s="1">
        <f t="shared" si="16"/>
        <v>38964.051651479422</v>
      </c>
      <c r="E135" s="1">
        <f t="shared" si="17"/>
        <v>6762175.1394869052</v>
      </c>
      <c r="F135" s="7">
        <f t="shared" ref="F135:F198" si="19">POWER(1+$B$2/12,-$A135)</f>
        <v>0.38140635861016087</v>
      </c>
      <c r="G135" s="1">
        <f t="shared" ref="G135:G198" si="20">$F135*$C135</f>
        <v>19454.982999697095</v>
      </c>
      <c r="H135" s="2">
        <f t="shared" ref="H135:H198" si="21">$A135/12*G135</f>
        <v>209141.06724674377</v>
      </c>
      <c r="I135" s="1">
        <f t="shared" ref="I135:I198" si="22">$F135*$D135</f>
        <v>14861.13705708899</v>
      </c>
      <c r="J135" s="2">
        <f t="shared" ref="J135:J198" si="23">$A135/12*I135</f>
        <v>159757.22336370664</v>
      </c>
    </row>
    <row r="136" spans="1:10" x14ac:dyDescent="0.35">
      <c r="A136" s="3">
        <v>130</v>
      </c>
      <c r="B136" s="8">
        <f t="shared" si="18"/>
        <v>49249</v>
      </c>
      <c r="C136" s="1">
        <f t="shared" ref="C136:C199" si="24">$B$2/12*E135</f>
        <v>50716.313546151789</v>
      </c>
      <c r="D136" s="1">
        <f t="shared" ref="D136:D199" si="25">$B$5-C136</f>
        <v>39256.282038865516</v>
      </c>
      <c r="E136" s="1">
        <f t="shared" ref="E136:E199" si="26">E135-D136</f>
        <v>6722918.8574480396</v>
      </c>
      <c r="F136" s="7">
        <f t="shared" si="19"/>
        <v>0.37856710532025883</v>
      </c>
      <c r="G136" s="1">
        <f t="shared" si="20"/>
        <v>19199.528011681316</v>
      </c>
      <c r="H136" s="2">
        <f t="shared" si="21"/>
        <v>207994.88679321427</v>
      </c>
      <c r="I136" s="1">
        <f t="shared" si="22"/>
        <v>14861.137057088987</v>
      </c>
      <c r="J136" s="2">
        <f t="shared" si="23"/>
        <v>160995.65145179737</v>
      </c>
    </row>
    <row r="137" spans="1:10" x14ac:dyDescent="0.35">
      <c r="A137" s="3">
        <v>131</v>
      </c>
      <c r="B137" s="8">
        <f t="shared" si="18"/>
        <v>49279</v>
      </c>
      <c r="C137" s="1">
        <f t="shared" si="24"/>
        <v>50421.891430860298</v>
      </c>
      <c r="D137" s="1">
        <f t="shared" si="25"/>
        <v>39550.704154157007</v>
      </c>
      <c r="E137" s="1">
        <f t="shared" si="26"/>
        <v>6683368.1532938825</v>
      </c>
      <c r="F137" s="7">
        <f t="shared" si="19"/>
        <v>0.37574898791092687</v>
      </c>
      <c r="G137" s="1">
        <f t="shared" si="20"/>
        <v>18945.974673700392</v>
      </c>
      <c r="H137" s="2">
        <f t="shared" si="21"/>
        <v>206826.89018789594</v>
      </c>
      <c r="I137" s="1">
        <f t="shared" si="22"/>
        <v>14861.137057088987</v>
      </c>
      <c r="J137" s="2">
        <f t="shared" si="23"/>
        <v>162234.0795398881</v>
      </c>
    </row>
    <row r="138" spans="1:10" x14ac:dyDescent="0.35">
      <c r="A138" s="3">
        <v>132</v>
      </c>
      <c r="B138" s="8">
        <f t="shared" si="18"/>
        <v>49310</v>
      </c>
      <c r="C138" s="1">
        <f t="shared" si="24"/>
        <v>50125.261149704114</v>
      </c>
      <c r="D138" s="1">
        <f t="shared" si="25"/>
        <v>39847.334435313191</v>
      </c>
      <c r="E138" s="1">
        <f t="shared" si="26"/>
        <v>6643520.8188585695</v>
      </c>
      <c r="F138" s="7">
        <f t="shared" si="19"/>
        <v>0.37295184904310358</v>
      </c>
      <c r="G138" s="1">
        <f t="shared" si="20"/>
        <v>18694.308829550595</v>
      </c>
      <c r="H138" s="2">
        <f t="shared" si="21"/>
        <v>205637.39712505654</v>
      </c>
      <c r="I138" s="1">
        <f t="shared" si="22"/>
        <v>14861.137057088989</v>
      </c>
      <c r="J138" s="2">
        <f t="shared" si="23"/>
        <v>163472.50762797886</v>
      </c>
    </row>
    <row r="139" spans="1:10" x14ac:dyDescent="0.35">
      <c r="A139" s="3">
        <v>133</v>
      </c>
      <c r="B139" s="8">
        <f t="shared" si="18"/>
        <v>49341</v>
      </c>
      <c r="C139" s="1">
        <f t="shared" si="24"/>
        <v>49826.406141439271</v>
      </c>
      <c r="D139" s="1">
        <f t="shared" si="25"/>
        <v>40146.189443578034</v>
      </c>
      <c r="E139" s="1">
        <f t="shared" si="26"/>
        <v>6603374.6294149915</v>
      </c>
      <c r="F139" s="7">
        <f t="shared" si="19"/>
        <v>0.37017553254898616</v>
      </c>
      <c r="G139" s="1">
        <f t="shared" si="20"/>
        <v>18444.516428409355</v>
      </c>
      <c r="H139" s="2">
        <f t="shared" si="21"/>
        <v>204426.72374820369</v>
      </c>
      <c r="I139" s="1">
        <f t="shared" si="22"/>
        <v>14861.137057088985</v>
      </c>
      <c r="J139" s="2">
        <f t="shared" si="23"/>
        <v>164710.93571606959</v>
      </c>
    </row>
    <row r="140" spans="1:10" x14ac:dyDescent="0.35">
      <c r="A140" s="3">
        <v>134</v>
      </c>
      <c r="B140" s="8">
        <f t="shared" si="18"/>
        <v>49369</v>
      </c>
      <c r="C140" s="1">
        <f t="shared" si="24"/>
        <v>49525.309720612437</v>
      </c>
      <c r="D140" s="1">
        <f t="shared" si="25"/>
        <v>40447.285864404868</v>
      </c>
      <c r="E140" s="1">
        <f t="shared" si="26"/>
        <v>6562927.3435505871</v>
      </c>
      <c r="F140" s="7">
        <f t="shared" si="19"/>
        <v>0.36741988342331128</v>
      </c>
      <c r="G140" s="1">
        <f t="shared" si="20"/>
        <v>18196.583524050806</v>
      </c>
      <c r="H140" s="2">
        <f t="shared" si="21"/>
        <v>203195.182685234</v>
      </c>
      <c r="I140" s="1">
        <f t="shared" si="22"/>
        <v>14861.137057088983</v>
      </c>
      <c r="J140" s="2">
        <f t="shared" si="23"/>
        <v>165949.3638041603</v>
      </c>
    </row>
    <row r="141" spans="1:10" x14ac:dyDescent="0.35">
      <c r="A141" s="3">
        <v>135</v>
      </c>
      <c r="B141" s="8">
        <f t="shared" si="18"/>
        <v>49400</v>
      </c>
      <c r="C141" s="1">
        <f t="shared" si="24"/>
        <v>49221.955076629398</v>
      </c>
      <c r="D141" s="1">
        <f t="shared" si="25"/>
        <v>40750.640508387907</v>
      </c>
      <c r="E141" s="1">
        <f t="shared" si="26"/>
        <v>6522176.7030421989</v>
      </c>
      <c r="F141" s="7">
        <f t="shared" si="19"/>
        <v>0.364684747814701</v>
      </c>
      <c r="G141" s="1">
        <f t="shared" si="20"/>
        <v>17950.496274067133</v>
      </c>
      <c r="H141" s="2">
        <f t="shared" si="21"/>
        <v>201943.08308325525</v>
      </c>
      <c r="I141" s="1">
        <f t="shared" si="22"/>
        <v>14861.137057088983</v>
      </c>
      <c r="J141" s="2">
        <f t="shared" si="23"/>
        <v>167187.79189225106</v>
      </c>
    </row>
    <row r="142" spans="1:10" x14ac:dyDescent="0.35">
      <c r="A142" s="3">
        <v>136</v>
      </c>
      <c r="B142" s="8">
        <f t="shared" si="18"/>
        <v>49430</v>
      </c>
      <c r="C142" s="1">
        <f t="shared" si="24"/>
        <v>48916.325272816488</v>
      </c>
      <c r="D142" s="1">
        <f t="shared" si="25"/>
        <v>41056.270312200817</v>
      </c>
      <c r="E142" s="1">
        <f t="shared" si="26"/>
        <v>6481120.4327299977</v>
      </c>
      <c r="F142" s="7">
        <f t="shared" si="19"/>
        <v>0.36196997301707295</v>
      </c>
      <c r="G142" s="1">
        <f t="shared" si="20"/>
        <v>17706.240939095747</v>
      </c>
      <c r="H142" s="2">
        <f t="shared" si="21"/>
        <v>200670.73064308515</v>
      </c>
      <c r="I142" s="1">
        <f t="shared" si="22"/>
        <v>14861.137057088983</v>
      </c>
      <c r="J142" s="2">
        <f t="shared" si="23"/>
        <v>168426.21998034182</v>
      </c>
    </row>
    <row r="143" spans="1:10" x14ac:dyDescent="0.35">
      <c r="A143" s="3">
        <v>137</v>
      </c>
      <c r="B143" s="8">
        <f t="shared" si="18"/>
        <v>49461</v>
      </c>
      <c r="C143" s="1">
        <f t="shared" si="24"/>
        <v>48608.403245474983</v>
      </c>
      <c r="D143" s="1">
        <f t="shared" si="25"/>
        <v>41364.192339542322</v>
      </c>
      <c r="E143" s="1">
        <f t="shared" si="26"/>
        <v>6439756.2403904554</v>
      </c>
      <c r="F143" s="7">
        <f t="shared" si="19"/>
        <v>0.35927540746111453</v>
      </c>
      <c r="G143" s="1">
        <f t="shared" si="20"/>
        <v>17463.803882052187</v>
      </c>
      <c r="H143" s="2">
        <f t="shared" si="21"/>
        <v>199378.42765342913</v>
      </c>
      <c r="I143" s="1">
        <f t="shared" si="22"/>
        <v>14861.137057088979</v>
      </c>
      <c r="J143" s="2">
        <f t="shared" si="23"/>
        <v>169664.64806843249</v>
      </c>
    </row>
    <row r="144" spans="1:10" x14ac:dyDescent="0.35">
      <c r="A144" s="3">
        <v>138</v>
      </c>
      <c r="B144" s="8">
        <f t="shared" si="18"/>
        <v>49491</v>
      </c>
      <c r="C144" s="1">
        <f t="shared" si="24"/>
        <v>48298.171802928417</v>
      </c>
      <c r="D144" s="1">
        <f t="shared" si="25"/>
        <v>41674.423782088888</v>
      </c>
      <c r="E144" s="1">
        <f t="shared" si="26"/>
        <v>6398081.8166083666</v>
      </c>
      <c r="F144" s="7">
        <f t="shared" si="19"/>
        <v>0.35660090070582084</v>
      </c>
      <c r="G144" s="1">
        <f t="shared" si="20"/>
        <v>17223.171567368754</v>
      </c>
      <c r="H144" s="2">
        <f t="shared" si="21"/>
        <v>198066.47302474067</v>
      </c>
      <c r="I144" s="1">
        <f t="shared" si="22"/>
        <v>14861.137057088978</v>
      </c>
      <c r="J144" s="2">
        <f t="shared" si="23"/>
        <v>170903.07615652325</v>
      </c>
    </row>
    <row r="145" spans="1:10" x14ac:dyDescent="0.35">
      <c r="A145" s="3">
        <v>139</v>
      </c>
      <c r="B145" s="8">
        <f t="shared" si="18"/>
        <v>49522</v>
      </c>
      <c r="C145" s="1">
        <f t="shared" si="24"/>
        <v>47985.613624562749</v>
      </c>
      <c r="D145" s="1">
        <f t="shared" si="25"/>
        <v>41986.981960454556</v>
      </c>
      <c r="E145" s="1">
        <f t="shared" si="26"/>
        <v>6356094.8346479116</v>
      </c>
      <c r="F145" s="7">
        <f t="shared" si="19"/>
        <v>0.35394630343009509</v>
      </c>
      <c r="G145" s="1">
        <f t="shared" si="20"/>
        <v>16984.330560238792</v>
      </c>
      <c r="H145" s="2">
        <f t="shared" si="21"/>
        <v>196735.162322766</v>
      </c>
      <c r="I145" s="1">
        <f t="shared" si="22"/>
        <v>14861.137057088978</v>
      </c>
      <c r="J145" s="2">
        <f t="shared" si="23"/>
        <v>172141.50424461399</v>
      </c>
    </row>
    <row r="146" spans="1:10" x14ac:dyDescent="0.35">
      <c r="A146" s="3">
        <v>140</v>
      </c>
      <c r="B146" s="8">
        <f t="shared" si="18"/>
        <v>49553</v>
      </c>
      <c r="C146" s="1">
        <f t="shared" si="24"/>
        <v>47670.711259859338</v>
      </c>
      <c r="D146" s="1">
        <f t="shared" si="25"/>
        <v>42301.884325157967</v>
      </c>
      <c r="E146" s="1">
        <f t="shared" si="26"/>
        <v>6313792.9503227537</v>
      </c>
      <c r="F146" s="7">
        <f t="shared" si="19"/>
        <v>0.35131146742441194</v>
      </c>
      <c r="G146" s="1">
        <f t="shared" si="20"/>
        <v>16747.26752586662</v>
      </c>
      <c r="H146" s="2">
        <f t="shared" si="21"/>
        <v>195384.78780177722</v>
      </c>
      <c r="I146" s="1">
        <f t="shared" si="22"/>
        <v>14861.137057088976</v>
      </c>
      <c r="J146" s="2">
        <f t="shared" si="23"/>
        <v>173379.93233270472</v>
      </c>
    </row>
    <row r="147" spans="1:10" x14ac:dyDescent="0.35">
      <c r="A147" s="3">
        <v>141</v>
      </c>
      <c r="B147" s="8">
        <f t="shared" si="18"/>
        <v>49583</v>
      </c>
      <c r="C147" s="1">
        <f t="shared" si="24"/>
        <v>47353.447127420652</v>
      </c>
      <c r="D147" s="1">
        <f t="shared" si="25"/>
        <v>42619.148457596653</v>
      </c>
      <c r="E147" s="1">
        <f t="shared" si="26"/>
        <v>6271173.8018651567</v>
      </c>
      <c r="F147" s="7">
        <f t="shared" si="19"/>
        <v>0.34869624558254286</v>
      </c>
      <c r="G147" s="1">
        <f t="shared" si="20"/>
        <v>16511.969228723032</v>
      </c>
      <c r="H147" s="2">
        <f t="shared" si="21"/>
        <v>194015.63843749563</v>
      </c>
      <c r="I147" s="1">
        <f t="shared" si="22"/>
        <v>14861.137057088976</v>
      </c>
      <c r="J147" s="2">
        <f t="shared" si="23"/>
        <v>174618.36042079548</v>
      </c>
    </row>
    <row r="148" spans="1:10" x14ac:dyDescent="0.35">
      <c r="A148" s="3">
        <v>142</v>
      </c>
      <c r="B148" s="8">
        <f t="shared" si="18"/>
        <v>49614</v>
      </c>
      <c r="C148" s="1">
        <f t="shared" si="24"/>
        <v>47033.803513988671</v>
      </c>
      <c r="D148" s="1">
        <f t="shared" si="25"/>
        <v>42938.792071028634</v>
      </c>
      <c r="E148" s="1">
        <f t="shared" si="26"/>
        <v>6228235.0097941281</v>
      </c>
      <c r="F148" s="7">
        <f t="shared" si="19"/>
        <v>0.34610049189334274</v>
      </c>
      <c r="G148" s="1">
        <f t="shared" si="20"/>
        <v>16278.422531806311</v>
      </c>
      <c r="H148" s="2">
        <f t="shared" si="21"/>
        <v>192627.99995970802</v>
      </c>
      <c r="I148" s="1">
        <f t="shared" si="22"/>
        <v>14861.137057088976</v>
      </c>
      <c r="J148" s="2">
        <f t="shared" si="23"/>
        <v>175856.78850888621</v>
      </c>
    </row>
    <row r="149" spans="1:10" x14ac:dyDescent="0.35">
      <c r="A149" s="3">
        <v>143</v>
      </c>
      <c r="B149" s="8">
        <f t="shared" si="18"/>
        <v>49644</v>
      </c>
      <c r="C149" s="1">
        <f t="shared" si="24"/>
        <v>46711.762573455962</v>
      </c>
      <c r="D149" s="1">
        <f t="shared" si="25"/>
        <v>43260.833011561343</v>
      </c>
      <c r="E149" s="1">
        <f t="shared" si="26"/>
        <v>6184974.1767825671</v>
      </c>
      <c r="F149" s="7">
        <f t="shared" si="19"/>
        <v>0.34352406143259823</v>
      </c>
      <c r="G149" s="1">
        <f t="shared" si="20"/>
        <v>16046.614395908829</v>
      </c>
      <c r="H149" s="2">
        <f t="shared" si="21"/>
        <v>191222.1548845802</v>
      </c>
      <c r="I149" s="1">
        <f t="shared" si="22"/>
        <v>14861.137057088972</v>
      </c>
      <c r="J149" s="2">
        <f t="shared" si="23"/>
        <v>177095.21659697691</v>
      </c>
    </row>
    <row r="150" spans="1:10" x14ac:dyDescent="0.35">
      <c r="A150" s="3">
        <v>144</v>
      </c>
      <c r="B150" s="8">
        <f t="shared" si="18"/>
        <v>49675</v>
      </c>
      <c r="C150" s="1">
        <f t="shared" si="24"/>
        <v>46387.306325869249</v>
      </c>
      <c r="D150" s="1">
        <f t="shared" si="25"/>
        <v>43585.289259148056</v>
      </c>
      <c r="E150" s="1">
        <f t="shared" si="26"/>
        <v>6141388.8875234192</v>
      </c>
      <c r="F150" s="7">
        <f t="shared" si="19"/>
        <v>0.3409668103549362</v>
      </c>
      <c r="G150" s="1">
        <f t="shared" si="20"/>
        <v>15816.531878888993</v>
      </c>
      <c r="H150" s="2">
        <f t="shared" si="21"/>
        <v>189798.38254666791</v>
      </c>
      <c r="I150" s="1">
        <f t="shared" si="22"/>
        <v>14861.137057088972</v>
      </c>
      <c r="J150" s="2">
        <f t="shared" si="23"/>
        <v>178333.64468506767</v>
      </c>
    </row>
    <row r="151" spans="1:10" x14ac:dyDescent="0.35">
      <c r="A151" s="3">
        <v>145</v>
      </c>
      <c r="B151" s="8">
        <f t="shared" si="18"/>
        <v>49706</v>
      </c>
      <c r="C151" s="1">
        <f t="shared" si="24"/>
        <v>46060.416656425645</v>
      </c>
      <c r="D151" s="1">
        <f t="shared" si="25"/>
        <v>43912.17892859166</v>
      </c>
      <c r="E151" s="1">
        <f t="shared" si="26"/>
        <v>6097476.7085948279</v>
      </c>
      <c r="F151" s="7">
        <f t="shared" si="19"/>
        <v>0.33842859588579277</v>
      </c>
      <c r="G151" s="1">
        <f t="shared" si="20"/>
        <v>15588.162134948712</v>
      </c>
      <c r="H151" s="2">
        <f t="shared" si="21"/>
        <v>188356.95913063028</v>
      </c>
      <c r="I151" s="1">
        <f t="shared" si="22"/>
        <v>14861.137057088972</v>
      </c>
      <c r="J151" s="2">
        <f t="shared" si="23"/>
        <v>179572.07277315843</v>
      </c>
    </row>
    <row r="152" spans="1:10" x14ac:dyDescent="0.35">
      <c r="A152" s="3">
        <v>146</v>
      </c>
      <c r="B152" s="8">
        <f t="shared" si="18"/>
        <v>49735</v>
      </c>
      <c r="C152" s="1">
        <f t="shared" si="24"/>
        <v>45731.07531446121</v>
      </c>
      <c r="D152" s="1">
        <f t="shared" si="25"/>
        <v>44241.520270556095</v>
      </c>
      <c r="E152" s="1">
        <f t="shared" si="26"/>
        <v>6053235.1883242717</v>
      </c>
      <c r="F152" s="7">
        <f t="shared" si="19"/>
        <v>0.33590927631344186</v>
      </c>
      <c r="G152" s="1">
        <f t="shared" si="20"/>
        <v>15361.49241391617</v>
      </c>
      <c r="H152" s="2">
        <f t="shared" si="21"/>
        <v>186898.15770264674</v>
      </c>
      <c r="I152" s="1">
        <f t="shared" si="22"/>
        <v>14861.137057088967</v>
      </c>
      <c r="J152" s="2">
        <f t="shared" si="23"/>
        <v>180810.50086124908</v>
      </c>
    </row>
    <row r="153" spans="1:10" x14ac:dyDescent="0.35">
      <c r="A153" s="3">
        <v>147</v>
      </c>
      <c r="B153" s="8">
        <f t="shared" si="18"/>
        <v>49766</v>
      </c>
      <c r="C153" s="1">
        <f t="shared" si="24"/>
        <v>45399.263912432034</v>
      </c>
      <c r="D153" s="1">
        <f t="shared" si="25"/>
        <v>44573.331672585271</v>
      </c>
      <c r="E153" s="1">
        <f t="shared" si="26"/>
        <v>6008661.8566516861</v>
      </c>
      <c r="F153" s="7">
        <f t="shared" si="19"/>
        <v>0.33340871098108377</v>
      </c>
      <c r="G153" s="1">
        <f t="shared" si="20"/>
        <v>15136.510060533998</v>
      </c>
      <c r="H153" s="2">
        <f t="shared" si="21"/>
        <v>185422.24824154147</v>
      </c>
      <c r="I153" s="1">
        <f t="shared" si="22"/>
        <v>14861.13705708897</v>
      </c>
      <c r="J153" s="2">
        <f t="shared" si="23"/>
        <v>182048.9289493399</v>
      </c>
    </row>
    <row r="154" spans="1:10" x14ac:dyDescent="0.35">
      <c r="A154" s="3">
        <v>148</v>
      </c>
      <c r="B154" s="8">
        <f t="shared" si="18"/>
        <v>49796</v>
      </c>
      <c r="C154" s="1">
        <f t="shared" si="24"/>
        <v>45064.963924887641</v>
      </c>
      <c r="D154" s="1">
        <f t="shared" si="25"/>
        <v>44907.631660129664</v>
      </c>
      <c r="E154" s="1">
        <f t="shared" si="26"/>
        <v>5963754.2249915563</v>
      </c>
      <c r="F154" s="7">
        <f t="shared" si="19"/>
        <v>0.33092676027899121</v>
      </c>
      <c r="G154" s="1">
        <f t="shared" si="20"/>
        <v>14913.20251375268</v>
      </c>
      <c r="H154" s="2">
        <f t="shared" si="21"/>
        <v>183929.49766961639</v>
      </c>
      <c r="I154" s="1">
        <f t="shared" si="22"/>
        <v>14861.137057088965</v>
      </c>
      <c r="J154" s="2">
        <f t="shared" si="23"/>
        <v>183287.35703743057</v>
      </c>
    </row>
    <row r="155" spans="1:10" x14ac:dyDescent="0.35">
      <c r="A155" s="3">
        <v>149</v>
      </c>
      <c r="B155" s="8">
        <f t="shared" si="18"/>
        <v>49827</v>
      </c>
      <c r="C155" s="1">
        <f t="shared" si="24"/>
        <v>44728.156687436669</v>
      </c>
      <c r="D155" s="1">
        <f t="shared" si="25"/>
        <v>45244.438897580636</v>
      </c>
      <c r="E155" s="1">
        <f t="shared" si="26"/>
        <v>5918509.7860939754</v>
      </c>
      <c r="F155" s="7">
        <f t="shared" si="19"/>
        <v>0.3284632856367159</v>
      </c>
      <c r="G155" s="1">
        <f t="shared" si="20"/>
        <v>14691.557306029295</v>
      </c>
      <c r="H155" s="2">
        <f t="shared" si="21"/>
        <v>182420.16988319709</v>
      </c>
      <c r="I155" s="1">
        <f t="shared" si="22"/>
        <v>14861.137057088969</v>
      </c>
      <c r="J155" s="2">
        <f t="shared" si="23"/>
        <v>184525.78512552136</v>
      </c>
    </row>
    <row r="156" spans="1:10" x14ac:dyDescent="0.35">
      <c r="A156" s="3">
        <v>150</v>
      </c>
      <c r="B156" s="8">
        <f t="shared" si="18"/>
        <v>49857</v>
      </c>
      <c r="C156" s="1">
        <f t="shared" si="24"/>
        <v>44388.823395704814</v>
      </c>
      <c r="D156" s="1">
        <f t="shared" si="25"/>
        <v>45583.772189312491</v>
      </c>
      <c r="E156" s="1">
        <f t="shared" si="26"/>
        <v>5872926.0139046628</v>
      </c>
      <c r="F156" s="7">
        <f t="shared" si="19"/>
        <v>0.32601814951535063</v>
      </c>
      <c r="G156" s="1">
        <f t="shared" si="20"/>
        <v>14471.562062631387</v>
      </c>
      <c r="H156" s="2">
        <f t="shared" si="21"/>
        <v>180894.52578289233</v>
      </c>
      <c r="I156" s="1">
        <f t="shared" si="22"/>
        <v>14861.137057088961</v>
      </c>
      <c r="J156" s="2">
        <f t="shared" si="23"/>
        <v>185764.21321361201</v>
      </c>
    </row>
    <row r="157" spans="1:10" x14ac:dyDescent="0.35">
      <c r="A157" s="3">
        <v>151</v>
      </c>
      <c r="B157" s="8">
        <f t="shared" si="18"/>
        <v>49888</v>
      </c>
      <c r="C157" s="1">
        <f t="shared" si="24"/>
        <v>44046.945104284969</v>
      </c>
      <c r="D157" s="1">
        <f t="shared" si="25"/>
        <v>45925.650480732336</v>
      </c>
      <c r="E157" s="1">
        <f t="shared" si="26"/>
        <v>5827000.3634239305</v>
      </c>
      <c r="F157" s="7">
        <f t="shared" si="19"/>
        <v>0.32359121539985181</v>
      </c>
      <c r="G157" s="1">
        <f t="shared" si="20"/>
        <v>14253.204500946125</v>
      </c>
      <c r="H157" s="2">
        <f t="shared" si="21"/>
        <v>179352.82330357208</v>
      </c>
      <c r="I157" s="1">
        <f t="shared" si="22"/>
        <v>14861.137057088965</v>
      </c>
      <c r="J157" s="2">
        <f t="shared" si="23"/>
        <v>187002.64130170282</v>
      </c>
    </row>
    <row r="158" spans="1:10" x14ac:dyDescent="0.35">
      <c r="A158" s="3">
        <v>152</v>
      </c>
      <c r="B158" s="8">
        <f t="shared" si="18"/>
        <v>49919</v>
      </c>
      <c r="C158" s="1">
        <f t="shared" si="24"/>
        <v>43702.502725679478</v>
      </c>
      <c r="D158" s="1">
        <f t="shared" si="25"/>
        <v>46270.092859337827</v>
      </c>
      <c r="E158" s="1">
        <f t="shared" si="26"/>
        <v>5780730.2705645924</v>
      </c>
      <c r="F158" s="7">
        <f t="shared" si="19"/>
        <v>0.32118234779141619</v>
      </c>
      <c r="G158" s="1">
        <f t="shared" si="20"/>
        <v>14036.472429794499</v>
      </c>
      <c r="H158" s="2">
        <f t="shared" si="21"/>
        <v>177795.31744406366</v>
      </c>
      <c r="I158" s="1">
        <f t="shared" si="22"/>
        <v>14861.137057088965</v>
      </c>
      <c r="J158" s="2">
        <f t="shared" si="23"/>
        <v>188241.06938979356</v>
      </c>
    </row>
    <row r="159" spans="1:10" x14ac:dyDescent="0.35">
      <c r="A159" s="3">
        <v>153</v>
      </c>
      <c r="B159" s="8">
        <f t="shared" si="18"/>
        <v>49949</v>
      </c>
      <c r="C159" s="1">
        <f t="shared" si="24"/>
        <v>43355.47702923444</v>
      </c>
      <c r="D159" s="1">
        <f t="shared" si="25"/>
        <v>46617.118555782865</v>
      </c>
      <c r="E159" s="1">
        <f t="shared" si="26"/>
        <v>5734113.1520088091</v>
      </c>
      <c r="F159" s="7">
        <f t="shared" si="19"/>
        <v>0.31879141219991675</v>
      </c>
      <c r="G159" s="1">
        <f t="shared" si="20"/>
        <v>13821.353748750698</v>
      </c>
      <c r="H159" s="2">
        <f t="shared" si="21"/>
        <v>176222.26029657142</v>
      </c>
      <c r="I159" s="1">
        <f t="shared" si="22"/>
        <v>14861.137057088963</v>
      </c>
      <c r="J159" s="2">
        <f t="shared" si="23"/>
        <v>189479.49747788429</v>
      </c>
    </row>
    <row r="160" spans="1:10" x14ac:dyDescent="0.35">
      <c r="A160" s="3">
        <v>154</v>
      </c>
      <c r="B160" s="8">
        <f t="shared" si="18"/>
        <v>49980</v>
      </c>
      <c r="C160" s="1">
        <f t="shared" si="24"/>
        <v>43005.848640066069</v>
      </c>
      <c r="D160" s="1">
        <f t="shared" si="25"/>
        <v>46966.746944951235</v>
      </c>
      <c r="E160" s="1">
        <f t="shared" si="26"/>
        <v>5687146.4050638583</v>
      </c>
      <c r="F160" s="7">
        <f t="shared" si="19"/>
        <v>0.31641827513639376</v>
      </c>
      <c r="G160" s="1">
        <f t="shared" si="20"/>
        <v>13607.83644746653</v>
      </c>
      <c r="H160" s="2">
        <f t="shared" si="21"/>
        <v>174633.90107582047</v>
      </c>
      <c r="I160" s="1">
        <f t="shared" si="22"/>
        <v>14861.137057088961</v>
      </c>
      <c r="J160" s="2">
        <f t="shared" si="23"/>
        <v>190717.92556597502</v>
      </c>
    </row>
    <row r="161" spans="1:10" x14ac:dyDescent="0.35">
      <c r="A161" s="3">
        <v>155</v>
      </c>
      <c r="B161" s="8">
        <f t="shared" si="18"/>
        <v>50010</v>
      </c>
      <c r="C161" s="1">
        <f t="shared" si="24"/>
        <v>42653.598037978933</v>
      </c>
      <c r="D161" s="1">
        <f t="shared" si="25"/>
        <v>47318.997547038372</v>
      </c>
      <c r="E161" s="1">
        <f t="shared" si="26"/>
        <v>5639827.4075168194</v>
      </c>
      <c r="F161" s="7">
        <f t="shared" si="19"/>
        <v>0.31406280410560172</v>
      </c>
      <c r="G161" s="1">
        <f t="shared" si="20"/>
        <v>13395.908605000855</v>
      </c>
      <c r="H161" s="2">
        <f t="shared" si="21"/>
        <v>173030.4861479277</v>
      </c>
      <c r="I161" s="1">
        <f t="shared" si="22"/>
        <v>14861.137057088961</v>
      </c>
      <c r="J161" s="2">
        <f t="shared" si="23"/>
        <v>191956.35365406575</v>
      </c>
    </row>
    <row r="162" spans="1:10" x14ac:dyDescent="0.35">
      <c r="A162" s="3">
        <v>156</v>
      </c>
      <c r="B162" s="8">
        <f t="shared" si="18"/>
        <v>50041</v>
      </c>
      <c r="C162" s="1">
        <f t="shared" si="24"/>
        <v>42298.705556376146</v>
      </c>
      <c r="D162" s="1">
        <f t="shared" si="25"/>
        <v>47673.890028641159</v>
      </c>
      <c r="E162" s="1">
        <f t="shared" si="26"/>
        <v>5592153.5174881779</v>
      </c>
      <c r="F162" s="7">
        <f t="shared" si="19"/>
        <v>0.31172486759861207</v>
      </c>
      <c r="G162" s="1">
        <f t="shared" si="20"/>
        <v>13185.55838915403</v>
      </c>
      <c r="H162" s="2">
        <f t="shared" si="21"/>
        <v>171412.25905900239</v>
      </c>
      <c r="I162" s="1">
        <f t="shared" si="22"/>
        <v>14861.137057088958</v>
      </c>
      <c r="J162" s="2">
        <f t="shared" si="23"/>
        <v>193194.78174215645</v>
      </c>
    </row>
    <row r="163" spans="1:10" x14ac:dyDescent="0.35">
      <c r="A163" s="3">
        <v>157</v>
      </c>
      <c r="B163" s="8">
        <f t="shared" si="18"/>
        <v>50072</v>
      </c>
      <c r="C163" s="1">
        <f t="shared" si="24"/>
        <v>41941.151381161333</v>
      </c>
      <c r="D163" s="1">
        <f t="shared" si="25"/>
        <v>48031.444203855972</v>
      </c>
      <c r="E163" s="1">
        <f t="shared" si="26"/>
        <v>5544122.0732843215</v>
      </c>
      <c r="F163" s="7">
        <f t="shared" si="19"/>
        <v>0.3094043350854711</v>
      </c>
      <c r="G163" s="1">
        <f t="shared" si="20"/>
        <v>12976.774055807311</v>
      </c>
      <c r="H163" s="2">
        <f t="shared" si="21"/>
        <v>169779.46056347899</v>
      </c>
      <c r="I163" s="1">
        <f t="shared" si="22"/>
        <v>14861.137057088961</v>
      </c>
      <c r="J163" s="2">
        <f t="shared" si="23"/>
        <v>194433.20983024724</v>
      </c>
    </row>
    <row r="164" spans="1:10" x14ac:dyDescent="0.35">
      <c r="A164" s="3">
        <v>158</v>
      </c>
      <c r="B164" s="8">
        <f t="shared" si="18"/>
        <v>50100</v>
      </c>
      <c r="C164" s="1">
        <f t="shared" si="24"/>
        <v>41580.915549632409</v>
      </c>
      <c r="D164" s="1">
        <f t="shared" si="25"/>
        <v>48391.680035384896</v>
      </c>
      <c r="E164" s="1">
        <f t="shared" si="26"/>
        <v>5495730.3932489362</v>
      </c>
      <c r="F164" s="7">
        <f t="shared" si="19"/>
        <v>0.30710107700791162</v>
      </c>
      <c r="G164" s="1">
        <f t="shared" si="20"/>
        <v>12769.543948267132</v>
      </c>
      <c r="H164" s="2">
        <f t="shared" si="21"/>
        <v>168132.3286521839</v>
      </c>
      <c r="I164" s="1">
        <f t="shared" si="22"/>
        <v>14861.137057088956</v>
      </c>
      <c r="J164" s="2">
        <f t="shared" si="23"/>
        <v>195671.63791833792</v>
      </c>
    </row>
    <row r="165" spans="1:10" x14ac:dyDescent="0.35">
      <c r="A165" s="3">
        <v>159</v>
      </c>
      <c r="B165" s="8">
        <f t="shared" si="18"/>
        <v>50131</v>
      </c>
      <c r="C165" s="1">
        <f t="shared" si="24"/>
        <v>41217.977949367021</v>
      </c>
      <c r="D165" s="1">
        <f t="shared" si="25"/>
        <v>48754.617635650284</v>
      </c>
      <c r="E165" s="1">
        <f t="shared" si="26"/>
        <v>5446975.7756132856</v>
      </c>
      <c r="F165" s="7">
        <f t="shared" si="19"/>
        <v>0.30481496477212067</v>
      </c>
      <c r="G165" s="1">
        <f t="shared" si="20"/>
        <v>12563.856496614355</v>
      </c>
      <c r="H165" s="2">
        <f t="shared" si="21"/>
        <v>166471.09858014021</v>
      </c>
      <c r="I165" s="1">
        <f t="shared" si="22"/>
        <v>14861.137057088954</v>
      </c>
      <c r="J165" s="2">
        <f t="shared" si="23"/>
        <v>196910.06600642865</v>
      </c>
    </row>
    <row r="166" spans="1:10" x14ac:dyDescent="0.35">
      <c r="A166" s="3">
        <v>160</v>
      </c>
      <c r="B166" s="8">
        <f t="shared" si="18"/>
        <v>50161</v>
      </c>
      <c r="C166" s="1">
        <f t="shared" si="24"/>
        <v>40852.318317099642</v>
      </c>
      <c r="D166" s="1">
        <f t="shared" si="25"/>
        <v>49120.277267917663</v>
      </c>
      <c r="E166" s="1">
        <f t="shared" si="26"/>
        <v>5397855.4983453676</v>
      </c>
      <c r="F166" s="7">
        <f t="shared" si="19"/>
        <v>0.30254587074155903</v>
      </c>
      <c r="G166" s="1">
        <f t="shared" si="20"/>
        <v>12359.700217058253</v>
      </c>
      <c r="H166" s="2">
        <f t="shared" si="21"/>
        <v>164796.00289411005</v>
      </c>
      <c r="I166" s="1">
        <f t="shared" si="22"/>
        <v>14861.137057088958</v>
      </c>
      <c r="J166" s="2">
        <f t="shared" si="23"/>
        <v>198148.49409451944</v>
      </c>
    </row>
    <row r="167" spans="1:10" x14ac:dyDescent="0.35">
      <c r="A167" s="3">
        <v>161</v>
      </c>
      <c r="B167" s="8">
        <f t="shared" si="18"/>
        <v>50192</v>
      </c>
      <c r="C167" s="1">
        <f t="shared" si="24"/>
        <v>40483.916237590252</v>
      </c>
      <c r="D167" s="1">
        <f t="shared" si="25"/>
        <v>49488.679347427053</v>
      </c>
      <c r="E167" s="1">
        <f t="shared" si="26"/>
        <v>5348366.818997941</v>
      </c>
      <c r="F167" s="7">
        <f t="shared" si="19"/>
        <v>0.30029366822983528</v>
      </c>
      <c r="G167" s="1">
        <f t="shared" si="20"/>
        <v>12157.063711295368</v>
      </c>
      <c r="H167" s="2">
        <f t="shared" si="21"/>
        <v>163107.27145987953</v>
      </c>
      <c r="I167" s="1">
        <f t="shared" si="22"/>
        <v>14861.137057088959</v>
      </c>
      <c r="J167" s="2">
        <f t="shared" si="23"/>
        <v>199386.9221826102</v>
      </c>
    </row>
    <row r="168" spans="1:10" x14ac:dyDescent="0.35">
      <c r="A168" s="3">
        <v>162</v>
      </c>
      <c r="B168" s="8">
        <f t="shared" si="18"/>
        <v>50222</v>
      </c>
      <c r="C168" s="1">
        <f t="shared" si="24"/>
        <v>40112.751142484558</v>
      </c>
      <c r="D168" s="1">
        <f t="shared" si="25"/>
        <v>49859.844442532747</v>
      </c>
      <c r="E168" s="1">
        <f t="shared" si="26"/>
        <v>5298506.9745554086</v>
      </c>
      <c r="F168" s="7">
        <f t="shared" si="19"/>
        <v>0.29805823149363297</v>
      </c>
      <c r="G168" s="1">
        <f t="shared" si="20"/>
        <v>11955.935665873152</v>
      </c>
      <c r="H168" s="2">
        <f t="shared" si="21"/>
        <v>161405.13148928757</v>
      </c>
      <c r="I168" s="1">
        <f t="shared" si="22"/>
        <v>14861.137057088956</v>
      </c>
      <c r="J168" s="2">
        <f t="shared" si="23"/>
        <v>200625.3502707009</v>
      </c>
    </row>
    <row r="169" spans="1:10" x14ac:dyDescent="0.35">
      <c r="A169" s="3">
        <v>163</v>
      </c>
      <c r="B169" s="8">
        <f t="shared" si="18"/>
        <v>50253</v>
      </c>
      <c r="C169" s="1">
        <f t="shared" si="24"/>
        <v>39738.802309165563</v>
      </c>
      <c r="D169" s="1">
        <f t="shared" si="25"/>
        <v>50233.793275851742</v>
      </c>
      <c r="E169" s="1">
        <f t="shared" si="26"/>
        <v>5248273.1812795568</v>
      </c>
      <c r="F169" s="7">
        <f t="shared" si="19"/>
        <v>0.29583943572569027</v>
      </c>
      <c r="G169" s="1">
        <f t="shared" si="20"/>
        <v>11756.304851558298</v>
      </c>
      <c r="H169" s="2">
        <f t="shared" si="21"/>
        <v>159689.80756700021</v>
      </c>
      <c r="I169" s="1">
        <f t="shared" si="22"/>
        <v>14861.137057088954</v>
      </c>
      <c r="J169" s="2">
        <f t="shared" si="23"/>
        <v>201863.77835879163</v>
      </c>
    </row>
    <row r="170" spans="1:10" x14ac:dyDescent="0.35">
      <c r="A170" s="3">
        <v>164</v>
      </c>
      <c r="B170" s="8">
        <f t="shared" si="18"/>
        <v>50284</v>
      </c>
      <c r="C170" s="1">
        <f t="shared" si="24"/>
        <v>39362.048859596674</v>
      </c>
      <c r="D170" s="1">
        <f t="shared" si="25"/>
        <v>50610.546725420631</v>
      </c>
      <c r="E170" s="1">
        <f t="shared" si="26"/>
        <v>5197662.6345541365</v>
      </c>
      <c r="F170" s="7">
        <f t="shared" si="19"/>
        <v>0.29363715704783155</v>
      </c>
      <c r="G170" s="1">
        <f t="shared" si="20"/>
        <v>11558.160122709807</v>
      </c>
      <c r="H170" s="2">
        <f t="shared" si="21"/>
        <v>157961.52167703403</v>
      </c>
      <c r="I170" s="1">
        <f t="shared" si="22"/>
        <v>14861.137057088954</v>
      </c>
      <c r="J170" s="2">
        <f t="shared" si="23"/>
        <v>203102.20644688237</v>
      </c>
    </row>
    <row r="171" spans="1:10" x14ac:dyDescent="0.35">
      <c r="A171" s="3">
        <v>165</v>
      </c>
      <c r="B171" s="8">
        <f t="shared" si="18"/>
        <v>50314</v>
      </c>
      <c r="C171" s="1">
        <f t="shared" si="24"/>
        <v>38982.469759156025</v>
      </c>
      <c r="D171" s="1">
        <f t="shared" si="25"/>
        <v>50990.12582586128</v>
      </c>
      <c r="E171" s="1">
        <f t="shared" si="26"/>
        <v>5146672.5087282751</v>
      </c>
      <c r="F171" s="7">
        <f t="shared" si="19"/>
        <v>0.29145127250405112</v>
      </c>
      <c r="G171" s="1">
        <f t="shared" si="20"/>
        <v>11361.490416656714</v>
      </c>
      <c r="H171" s="2">
        <f t="shared" si="21"/>
        <v>156220.49322902982</v>
      </c>
      <c r="I171" s="1">
        <f t="shared" si="22"/>
        <v>14861.13705708895</v>
      </c>
      <c r="J171" s="2">
        <f t="shared" si="23"/>
        <v>204340.63453497307</v>
      </c>
    </row>
    <row r="172" spans="1:10" x14ac:dyDescent="0.35">
      <c r="A172" s="3">
        <v>166</v>
      </c>
      <c r="B172" s="8">
        <f t="shared" si="18"/>
        <v>50345</v>
      </c>
      <c r="C172" s="1">
        <f t="shared" si="24"/>
        <v>38600.043815462064</v>
      </c>
      <c r="D172" s="1">
        <f t="shared" si="25"/>
        <v>51372.551769555241</v>
      </c>
      <c r="E172" s="1">
        <f t="shared" si="26"/>
        <v>5095299.9569587195</v>
      </c>
      <c r="F172" s="7">
        <f t="shared" si="19"/>
        <v>0.28928166005364875</v>
      </c>
      <c r="G172" s="1">
        <f t="shared" si="20"/>
        <v>11166.284753080443</v>
      </c>
      <c r="H172" s="2">
        <f t="shared" si="21"/>
        <v>154466.93908427947</v>
      </c>
      <c r="I172" s="1">
        <f t="shared" si="22"/>
        <v>14861.13705708895</v>
      </c>
      <c r="J172" s="2">
        <f t="shared" si="23"/>
        <v>205579.06262306383</v>
      </c>
    </row>
    <row r="173" spans="1:10" x14ac:dyDescent="0.35">
      <c r="A173" s="3">
        <v>167</v>
      </c>
      <c r="B173" s="8">
        <f t="shared" si="18"/>
        <v>50375</v>
      </c>
      <c r="C173" s="1">
        <f t="shared" si="24"/>
        <v>38214.749677190397</v>
      </c>
      <c r="D173" s="1">
        <f t="shared" si="25"/>
        <v>51757.845907826908</v>
      </c>
      <c r="E173" s="1">
        <f t="shared" si="26"/>
        <v>5043542.1110508926</v>
      </c>
      <c r="F173" s="7">
        <f t="shared" si="19"/>
        <v>0.28712819856441557</v>
      </c>
      <c r="G173" s="1">
        <f t="shared" si="20"/>
        <v>10972.53223340176</v>
      </c>
      <c r="H173" s="2">
        <f t="shared" si="21"/>
        <v>152701.07358150781</v>
      </c>
      <c r="I173" s="1">
        <f t="shared" si="22"/>
        <v>14861.137057088948</v>
      </c>
      <c r="J173" s="2">
        <f t="shared" si="23"/>
        <v>206817.49071115453</v>
      </c>
    </row>
    <row r="174" spans="1:10" x14ac:dyDescent="0.35">
      <c r="A174" s="3">
        <v>168</v>
      </c>
      <c r="B174" s="8">
        <f t="shared" si="18"/>
        <v>50406</v>
      </c>
      <c r="C174" s="1">
        <f t="shared" si="24"/>
        <v>37826.565832881693</v>
      </c>
      <c r="D174" s="1">
        <f t="shared" si="25"/>
        <v>52146.029752135611</v>
      </c>
      <c r="E174" s="1">
        <f t="shared" si="26"/>
        <v>4991396.0812987573</v>
      </c>
      <c r="F174" s="7">
        <f t="shared" si="19"/>
        <v>0.28499076780587157</v>
      </c>
      <c r="G174" s="1">
        <f t="shared" si="20"/>
        <v>10780.222040172303</v>
      </c>
      <c r="H174" s="2">
        <f t="shared" si="21"/>
        <v>150923.10856241224</v>
      </c>
      <c r="I174" s="1">
        <f t="shared" si="22"/>
        <v>14861.13705708895</v>
      </c>
      <c r="J174" s="2">
        <f t="shared" si="23"/>
        <v>208055.91879924529</v>
      </c>
    </row>
    <row r="175" spans="1:10" x14ac:dyDescent="0.35">
      <c r="A175" s="3">
        <v>169</v>
      </c>
      <c r="B175" s="8">
        <f t="shared" si="18"/>
        <v>50437</v>
      </c>
      <c r="C175" s="1">
        <f t="shared" si="24"/>
        <v>37435.470609740682</v>
      </c>
      <c r="D175" s="1">
        <f t="shared" si="25"/>
        <v>52537.124975276623</v>
      </c>
      <c r="E175" s="1">
        <f t="shared" si="26"/>
        <v>4938858.9563234812</v>
      </c>
      <c r="F175" s="7">
        <f t="shared" si="19"/>
        <v>0.28286924844255235</v>
      </c>
      <c r="G175" s="1">
        <f t="shared" si="20"/>
        <v>10589.343436470603</v>
      </c>
      <c r="H175" s="2">
        <f t="shared" si="21"/>
        <v>149133.25339696099</v>
      </c>
      <c r="I175" s="1">
        <f t="shared" si="22"/>
        <v>14861.137057088945</v>
      </c>
      <c r="J175" s="2">
        <f t="shared" si="23"/>
        <v>209294.346887336</v>
      </c>
    </row>
    <row r="176" spans="1:10" x14ac:dyDescent="0.35">
      <c r="A176" s="3">
        <v>170</v>
      </c>
      <c r="B176" s="8">
        <f t="shared" si="18"/>
        <v>50465</v>
      </c>
      <c r="C176" s="1">
        <f t="shared" si="24"/>
        <v>37041.442172426105</v>
      </c>
      <c r="D176" s="1">
        <f t="shared" si="25"/>
        <v>52931.1534125912</v>
      </c>
      <c r="E176" s="1">
        <f t="shared" si="26"/>
        <v>4885927.8029108904</v>
      </c>
      <c r="F176" s="7">
        <f t="shared" si="19"/>
        <v>0.28076352202734722</v>
      </c>
      <c r="G176" s="1">
        <f t="shared" si="20"/>
        <v>10399.885765302664</v>
      </c>
      <c r="H176" s="2">
        <f t="shared" si="21"/>
        <v>147331.7150084544</v>
      </c>
      <c r="I176" s="1">
        <f t="shared" si="22"/>
        <v>14861.137057088945</v>
      </c>
      <c r="J176" s="2">
        <f t="shared" si="23"/>
        <v>210532.7749754267</v>
      </c>
    </row>
    <row r="177" spans="1:10" x14ac:dyDescent="0.35">
      <c r="A177" s="3">
        <v>171</v>
      </c>
      <c r="B177" s="8">
        <f t="shared" si="18"/>
        <v>50496</v>
      </c>
      <c r="C177" s="1">
        <f t="shared" si="24"/>
        <v>36644.458521831679</v>
      </c>
      <c r="D177" s="1">
        <f t="shared" si="25"/>
        <v>53328.137063185626</v>
      </c>
      <c r="E177" s="1">
        <f t="shared" si="26"/>
        <v>4832599.6658477047</v>
      </c>
      <c r="F177" s="7">
        <f t="shared" si="19"/>
        <v>0.27867347099488554</v>
      </c>
      <c r="G177" s="1">
        <f t="shared" si="20"/>
        <v>10211.838449006947</v>
      </c>
      <c r="H177" s="2">
        <f t="shared" si="21"/>
        <v>145518.697898349</v>
      </c>
      <c r="I177" s="1">
        <f t="shared" si="22"/>
        <v>14861.137057088939</v>
      </c>
      <c r="J177" s="2">
        <f t="shared" si="23"/>
        <v>211771.20306351737</v>
      </c>
    </row>
    <row r="178" spans="1:10" x14ac:dyDescent="0.35">
      <c r="A178" s="3">
        <v>172</v>
      </c>
      <c r="B178" s="8">
        <f t="shared" si="18"/>
        <v>50526</v>
      </c>
      <c r="C178" s="1">
        <f t="shared" si="24"/>
        <v>36244.497493857787</v>
      </c>
      <c r="D178" s="1">
        <f t="shared" si="25"/>
        <v>53728.098091159518</v>
      </c>
      <c r="E178" s="1">
        <f t="shared" si="26"/>
        <v>4778871.5677565448</v>
      </c>
      <c r="F178" s="7">
        <f t="shared" si="19"/>
        <v>0.27659897865497324</v>
      </c>
      <c r="G178" s="1">
        <f t="shared" si="20"/>
        <v>10025.1909886638</v>
      </c>
      <c r="H178" s="2">
        <f t="shared" si="21"/>
        <v>143694.40417084782</v>
      </c>
      <c r="I178" s="1">
        <f t="shared" si="22"/>
        <v>14861.137057088939</v>
      </c>
      <c r="J178" s="2">
        <f t="shared" si="23"/>
        <v>213009.63115160813</v>
      </c>
    </row>
    <row r="179" spans="1:10" x14ac:dyDescent="0.35">
      <c r="A179" s="3">
        <v>173</v>
      </c>
      <c r="B179" s="8">
        <f t="shared" si="18"/>
        <v>50557</v>
      </c>
      <c r="C179" s="1">
        <f t="shared" si="24"/>
        <v>35841.536758174087</v>
      </c>
      <c r="D179" s="1">
        <f t="shared" si="25"/>
        <v>54131.058826843218</v>
      </c>
      <c r="E179" s="1">
        <f t="shared" si="26"/>
        <v>4724740.5089297015</v>
      </c>
      <c r="F179" s="7">
        <f t="shared" si="19"/>
        <v>0.27453992918607767</v>
      </c>
      <c r="G179" s="1">
        <f t="shared" si="20"/>
        <v>9839.9329635093127</v>
      </c>
      <c r="H179" s="2">
        <f t="shared" si="21"/>
        <v>141859.03355725924</v>
      </c>
      <c r="I179" s="1">
        <f t="shared" si="22"/>
        <v>14861.137057088941</v>
      </c>
      <c r="J179" s="2">
        <f t="shared" si="23"/>
        <v>214248.05923969889</v>
      </c>
    </row>
    <row r="180" spans="1:10" x14ac:dyDescent="0.35">
      <c r="A180" s="3">
        <v>174</v>
      </c>
      <c r="B180" s="8">
        <f t="shared" si="18"/>
        <v>50587</v>
      </c>
      <c r="C180" s="1">
        <f t="shared" si="24"/>
        <v>35435.553816972759</v>
      </c>
      <c r="D180" s="1">
        <f t="shared" si="25"/>
        <v>54537.041768044546</v>
      </c>
      <c r="E180" s="1">
        <f t="shared" si="26"/>
        <v>4670203.4671616573</v>
      </c>
      <c r="F180" s="7">
        <f t="shared" si="19"/>
        <v>0.27249620762886112</v>
      </c>
      <c r="G180" s="1">
        <f t="shared" si="20"/>
        <v>9656.0540303534908</v>
      </c>
      <c r="H180" s="2">
        <f t="shared" si="21"/>
        <v>140012.78344012561</v>
      </c>
      <c r="I180" s="1">
        <f t="shared" si="22"/>
        <v>14861.137057088938</v>
      </c>
      <c r="J180" s="2">
        <f t="shared" si="23"/>
        <v>215486.4873277896</v>
      </c>
    </row>
    <row r="181" spans="1:10" x14ac:dyDescent="0.35">
      <c r="A181" s="3">
        <v>175</v>
      </c>
      <c r="B181" s="8">
        <f t="shared" si="18"/>
        <v>50618</v>
      </c>
      <c r="C181" s="1">
        <f t="shared" si="24"/>
        <v>35026.526003712432</v>
      </c>
      <c r="D181" s="1">
        <f t="shared" si="25"/>
        <v>54946.069581304873</v>
      </c>
      <c r="E181" s="1">
        <f t="shared" si="26"/>
        <v>4615257.3975803526</v>
      </c>
      <c r="F181" s="7">
        <f t="shared" si="19"/>
        <v>0.27046769987976288</v>
      </c>
      <c r="G181" s="1">
        <f t="shared" si="20"/>
        <v>9473.5439230028041</v>
      </c>
      <c r="H181" s="2">
        <f t="shared" si="21"/>
        <v>138155.84887712423</v>
      </c>
      <c r="I181" s="1">
        <f t="shared" si="22"/>
        <v>14861.137057088936</v>
      </c>
      <c r="J181" s="2">
        <f t="shared" si="23"/>
        <v>216724.91541588033</v>
      </c>
    </row>
    <row r="182" spans="1:10" x14ac:dyDescent="0.35">
      <c r="A182" s="3">
        <v>176</v>
      </c>
      <c r="B182" s="8">
        <f t="shared" si="18"/>
        <v>50649</v>
      </c>
      <c r="C182" s="1">
        <f t="shared" si="24"/>
        <v>34614.430481852643</v>
      </c>
      <c r="D182" s="1">
        <f t="shared" si="25"/>
        <v>55358.165103164662</v>
      </c>
      <c r="E182" s="1">
        <f t="shared" si="26"/>
        <v>4559899.2324771881</v>
      </c>
      <c r="F182" s="7">
        <f t="shared" si="19"/>
        <v>0.26845429268462817</v>
      </c>
      <c r="G182" s="1">
        <f t="shared" si="20"/>
        <v>9292.3924516869847</v>
      </c>
      <c r="H182" s="2">
        <f t="shared" si="21"/>
        <v>136288.42262474244</v>
      </c>
      <c r="I182" s="1">
        <f t="shared" si="22"/>
        <v>14861.137057088936</v>
      </c>
      <c r="J182" s="2">
        <f t="shared" si="23"/>
        <v>217963.34350397106</v>
      </c>
    </row>
    <row r="183" spans="1:10" x14ac:dyDescent="0.35">
      <c r="A183" s="3">
        <v>177</v>
      </c>
      <c r="B183" s="8">
        <f t="shared" si="18"/>
        <v>50679</v>
      </c>
      <c r="C183" s="1">
        <f t="shared" si="24"/>
        <v>34199.244243578913</v>
      </c>
      <c r="D183" s="1">
        <f t="shared" si="25"/>
        <v>55773.351341438392</v>
      </c>
      <c r="E183" s="1">
        <f t="shared" si="26"/>
        <v>4504125.8811357496</v>
      </c>
      <c r="F183" s="7">
        <f t="shared" si="19"/>
        <v>0.26645587363238532</v>
      </c>
      <c r="G183" s="1">
        <f t="shared" si="20"/>
        <v>9112.5895024901438</v>
      </c>
      <c r="H183" s="2">
        <f t="shared" si="21"/>
        <v>134410.69516172961</v>
      </c>
      <c r="I183" s="1">
        <f t="shared" si="22"/>
        <v>14861.137057088936</v>
      </c>
      <c r="J183" s="2">
        <f t="shared" si="23"/>
        <v>219201.77159206179</v>
      </c>
    </row>
    <row r="184" spans="1:10" x14ac:dyDescent="0.35">
      <c r="A184" s="3">
        <v>178</v>
      </c>
      <c r="B184" s="8">
        <f t="shared" si="18"/>
        <v>50710</v>
      </c>
      <c r="C184" s="1">
        <f t="shared" si="24"/>
        <v>33780.944108518124</v>
      </c>
      <c r="D184" s="1">
        <f t="shared" si="25"/>
        <v>56191.651476499181</v>
      </c>
      <c r="E184" s="1">
        <f t="shared" si="26"/>
        <v>4447934.22965925</v>
      </c>
      <c r="F184" s="7">
        <f t="shared" si="19"/>
        <v>0.26447233114876945</v>
      </c>
      <c r="G184" s="1">
        <f t="shared" si="20"/>
        <v>8934.1250367860775</v>
      </c>
      <c r="H184" s="2">
        <f t="shared" si="21"/>
        <v>132522.85471232684</v>
      </c>
      <c r="I184" s="1">
        <f t="shared" si="22"/>
        <v>14861.13705708893</v>
      </c>
      <c r="J184" s="2">
        <f t="shared" si="23"/>
        <v>220440.19968015247</v>
      </c>
    </row>
    <row r="185" spans="1:10" x14ac:dyDescent="0.35">
      <c r="A185" s="3">
        <v>179</v>
      </c>
      <c r="B185" s="8">
        <f t="shared" si="18"/>
        <v>50740</v>
      </c>
      <c r="C185" s="1">
        <f t="shared" si="24"/>
        <v>33359.506722444377</v>
      </c>
      <c r="D185" s="1">
        <f t="shared" si="25"/>
        <v>56613.088862572928</v>
      </c>
      <c r="E185" s="1">
        <f t="shared" si="26"/>
        <v>4391321.1407966772</v>
      </c>
      <c r="F185" s="7">
        <f t="shared" si="19"/>
        <v>0.26250355449009377</v>
      </c>
      <c r="G185" s="1">
        <f t="shared" si="20"/>
        <v>8756.9890906778273</v>
      </c>
      <c r="H185" s="2">
        <f t="shared" si="21"/>
        <v>130625.08726927759</v>
      </c>
      <c r="I185" s="1">
        <f t="shared" si="22"/>
        <v>14861.137057088934</v>
      </c>
      <c r="J185" s="2">
        <f t="shared" si="23"/>
        <v>221678.62776824326</v>
      </c>
    </row>
    <row r="186" spans="1:10" x14ac:dyDescent="0.35">
      <c r="A186" s="3">
        <v>180</v>
      </c>
      <c r="B186" s="8">
        <f t="shared" si="18"/>
        <v>50771</v>
      </c>
      <c r="C186" s="1">
        <f t="shared" si="24"/>
        <v>32934.908555975075</v>
      </c>
      <c r="D186" s="1">
        <f t="shared" si="25"/>
        <v>57037.68702904223</v>
      </c>
      <c r="E186" s="1">
        <f t="shared" si="26"/>
        <v>4334283.4537676349</v>
      </c>
      <c r="F186" s="7">
        <f t="shared" si="19"/>
        <v>0.26054943373706568</v>
      </c>
      <c r="G186" s="1">
        <f t="shared" si="20"/>
        <v>8581.1717744413454</v>
      </c>
      <c r="H186" s="2">
        <f t="shared" si="21"/>
        <v>128717.57661662018</v>
      </c>
      <c r="I186" s="1">
        <f t="shared" si="22"/>
        <v>14861.137057088928</v>
      </c>
      <c r="J186" s="2">
        <f t="shared" si="23"/>
        <v>222917.05585633393</v>
      </c>
    </row>
    <row r="187" spans="1:10" x14ac:dyDescent="0.35">
      <c r="A187" s="3">
        <v>181</v>
      </c>
      <c r="B187" s="8">
        <f t="shared" si="18"/>
        <v>50802</v>
      </c>
      <c r="C187" s="1">
        <f t="shared" si="24"/>
        <v>32507.12590325726</v>
      </c>
      <c r="D187" s="1">
        <f t="shared" si="25"/>
        <v>57465.469681760049</v>
      </c>
      <c r="E187" s="1">
        <f t="shared" si="26"/>
        <v>4276817.9840858746</v>
      </c>
      <c r="F187" s="7">
        <f t="shared" si="19"/>
        <v>0.25860985978865081</v>
      </c>
      <c r="G187" s="1">
        <f t="shared" si="20"/>
        <v>8406.6632719733789</v>
      </c>
      <c r="H187" s="2">
        <f t="shared" si="21"/>
        <v>126800.50435226514</v>
      </c>
      <c r="I187" s="1">
        <f t="shared" si="22"/>
        <v>14861.13705708893</v>
      </c>
      <c r="J187" s="2">
        <f t="shared" si="23"/>
        <v>224155.48394442472</v>
      </c>
    </row>
    <row r="188" spans="1:10" x14ac:dyDescent="0.35">
      <c r="A188" s="3">
        <v>182</v>
      </c>
      <c r="B188" s="8">
        <f t="shared" si="18"/>
        <v>50830</v>
      </c>
      <c r="C188" s="1">
        <f t="shared" si="24"/>
        <v>32076.134880644058</v>
      </c>
      <c r="D188" s="1">
        <f t="shared" si="25"/>
        <v>57896.460704373247</v>
      </c>
      <c r="E188" s="1">
        <f t="shared" si="26"/>
        <v>4218921.5233815014</v>
      </c>
      <c r="F188" s="7">
        <f t="shared" si="19"/>
        <v>0.25668472435598089</v>
      </c>
      <c r="G188" s="1">
        <f t="shared" si="20"/>
        <v>8233.4538402433845</v>
      </c>
      <c r="H188" s="2">
        <f t="shared" si="21"/>
        <v>124874.04991035799</v>
      </c>
      <c r="I188" s="1">
        <f t="shared" si="22"/>
        <v>14861.137057088927</v>
      </c>
      <c r="J188" s="2">
        <f t="shared" si="23"/>
        <v>225393.91203251539</v>
      </c>
    </row>
    <row r="189" spans="1:10" x14ac:dyDescent="0.35">
      <c r="A189" s="3">
        <v>183</v>
      </c>
      <c r="B189" s="8">
        <f t="shared" si="18"/>
        <v>50861</v>
      </c>
      <c r="C189" s="1">
        <f t="shared" si="24"/>
        <v>31641.911425361261</v>
      </c>
      <c r="D189" s="1">
        <f t="shared" si="25"/>
        <v>58330.684159656041</v>
      </c>
      <c r="E189" s="1">
        <f t="shared" si="26"/>
        <v>4160590.8392218454</v>
      </c>
      <c r="F189" s="7">
        <f t="shared" si="19"/>
        <v>0.2547739199563086</v>
      </c>
      <c r="G189" s="1">
        <f t="shared" si="20"/>
        <v>8061.5338087495966</v>
      </c>
      <c r="H189" s="2">
        <f t="shared" si="21"/>
        <v>122938.39058343135</v>
      </c>
      <c r="I189" s="1">
        <f t="shared" si="22"/>
        <v>14861.137057088927</v>
      </c>
      <c r="J189" s="2">
        <f t="shared" si="23"/>
        <v>226632.34012060612</v>
      </c>
    </row>
    <row r="190" spans="1:10" x14ac:dyDescent="0.35">
      <c r="A190" s="3">
        <v>184</v>
      </c>
      <c r="B190" s="8">
        <f t="shared" si="18"/>
        <v>50891</v>
      </c>
      <c r="C190" s="1">
        <f t="shared" si="24"/>
        <v>31204.431294163838</v>
      </c>
      <c r="D190" s="1">
        <f t="shared" si="25"/>
        <v>58768.16429085347</v>
      </c>
      <c r="E190" s="1">
        <f t="shared" si="26"/>
        <v>4101822.6749309921</v>
      </c>
      <c r="F190" s="7">
        <f t="shared" si="19"/>
        <v>0.252877339907006</v>
      </c>
      <c r="G190" s="1">
        <f t="shared" si="20"/>
        <v>7890.8935789790839</v>
      </c>
      <c r="H190" s="2">
        <f t="shared" si="21"/>
        <v>120993.70154434595</v>
      </c>
      <c r="I190" s="1">
        <f t="shared" si="22"/>
        <v>14861.137057088925</v>
      </c>
      <c r="J190" s="2">
        <f t="shared" si="23"/>
        <v>227870.76820869686</v>
      </c>
    </row>
    <row r="191" spans="1:10" x14ac:dyDescent="0.35">
      <c r="A191" s="3">
        <v>185</v>
      </c>
      <c r="B191" s="8">
        <f t="shared" si="18"/>
        <v>50922</v>
      </c>
      <c r="C191" s="1">
        <f t="shared" si="24"/>
        <v>30763.670061982441</v>
      </c>
      <c r="D191" s="1">
        <f t="shared" si="25"/>
        <v>59208.925523034864</v>
      </c>
      <c r="E191" s="1">
        <f t="shared" si="26"/>
        <v>4042613.7494079573</v>
      </c>
      <c r="F191" s="7">
        <f t="shared" si="19"/>
        <v>0.25099487831960898</v>
      </c>
      <c r="G191" s="1">
        <f t="shared" si="20"/>
        <v>7721.5236238718808</v>
      </c>
      <c r="H191" s="2">
        <f t="shared" si="21"/>
        <v>119040.15586802483</v>
      </c>
      <c r="I191" s="1">
        <f t="shared" si="22"/>
        <v>14861.137057088927</v>
      </c>
      <c r="J191" s="2">
        <f t="shared" si="23"/>
        <v>229109.19629678762</v>
      </c>
    </row>
    <row r="192" spans="1:10" x14ac:dyDescent="0.35">
      <c r="A192" s="3">
        <v>186</v>
      </c>
      <c r="B192" s="8">
        <f t="shared" si="18"/>
        <v>50952</v>
      </c>
      <c r="C192" s="1">
        <f t="shared" si="24"/>
        <v>30319.603120559677</v>
      </c>
      <c r="D192" s="1">
        <f t="shared" si="25"/>
        <v>59652.992464457624</v>
      </c>
      <c r="E192" s="1">
        <f t="shared" si="26"/>
        <v>3982960.7569434997</v>
      </c>
      <c r="F192" s="7">
        <f t="shared" si="19"/>
        <v>0.24912643009390464</v>
      </c>
      <c r="G192" s="1">
        <f t="shared" si="20"/>
        <v>7553.4144872890438</v>
      </c>
      <c r="H192" s="2">
        <f t="shared" si="21"/>
        <v>117077.92455298018</v>
      </c>
      <c r="I192" s="1">
        <f t="shared" si="22"/>
        <v>14861.137057088923</v>
      </c>
      <c r="J192" s="2">
        <f t="shared" si="23"/>
        <v>230347.62438487832</v>
      </c>
    </row>
    <row r="193" spans="1:10" x14ac:dyDescent="0.35">
      <c r="A193" s="3">
        <v>187</v>
      </c>
      <c r="B193" s="8">
        <f t="shared" si="18"/>
        <v>50983</v>
      </c>
      <c r="C193" s="1">
        <f t="shared" si="24"/>
        <v>29872.205677076247</v>
      </c>
      <c r="D193" s="1">
        <f t="shared" si="25"/>
        <v>60100.389907941062</v>
      </c>
      <c r="E193" s="1">
        <f t="shared" si="26"/>
        <v>3922860.3670355584</v>
      </c>
      <c r="F193" s="7">
        <f t="shared" si="19"/>
        <v>0.24727189091206411</v>
      </c>
      <c r="G193" s="1">
        <f t="shared" si="20"/>
        <v>7386.5567834847398</v>
      </c>
      <c r="H193" s="2">
        <f t="shared" si="21"/>
        <v>115107.1765426372</v>
      </c>
      <c r="I193" s="1">
        <f t="shared" si="22"/>
        <v>14861.137057088921</v>
      </c>
      <c r="J193" s="2">
        <f t="shared" si="23"/>
        <v>231586.05247296902</v>
      </c>
    </row>
    <row r="194" spans="1:10" x14ac:dyDescent="0.35">
      <c r="A194" s="3">
        <v>188</v>
      </c>
      <c r="B194" s="8">
        <f t="shared" si="18"/>
        <v>51014</v>
      </c>
      <c r="C194" s="1">
        <f t="shared" si="24"/>
        <v>29421.452752766687</v>
      </c>
      <c r="D194" s="1">
        <f t="shared" si="25"/>
        <v>60551.142832250618</v>
      </c>
      <c r="E194" s="1">
        <f t="shared" si="26"/>
        <v>3862309.2242033076</v>
      </c>
      <c r="F194" s="7">
        <f t="shared" si="19"/>
        <v>0.24543115723281794</v>
      </c>
      <c r="G194" s="1">
        <f t="shared" si="20"/>
        <v>7220.9411965822046</v>
      </c>
      <c r="H194" s="2">
        <f t="shared" si="21"/>
        <v>113128.07874645453</v>
      </c>
      <c r="I194" s="1">
        <f t="shared" si="22"/>
        <v>14861.137057088919</v>
      </c>
      <c r="J194" s="2">
        <f t="shared" si="23"/>
        <v>232824.48056105973</v>
      </c>
    </row>
    <row r="195" spans="1:10" x14ac:dyDescent="0.35">
      <c r="A195" s="3">
        <v>189</v>
      </c>
      <c r="B195" s="8">
        <f t="shared" si="18"/>
        <v>51044</v>
      </c>
      <c r="C195" s="1">
        <f t="shared" si="24"/>
        <v>28967.319181524806</v>
      </c>
      <c r="D195" s="1">
        <f t="shared" si="25"/>
        <v>61005.276403492499</v>
      </c>
      <c r="E195" s="1">
        <f t="shared" si="26"/>
        <v>3801303.9477998153</v>
      </c>
      <c r="F195" s="7">
        <f t="shared" si="19"/>
        <v>0.2436041262856754</v>
      </c>
      <c r="G195" s="1">
        <f t="shared" si="20"/>
        <v>7056.5584800536362</v>
      </c>
      <c r="H195" s="2">
        <f t="shared" si="21"/>
        <v>111140.79606084478</v>
      </c>
      <c r="I195" s="1">
        <f t="shared" si="22"/>
        <v>14861.137057088921</v>
      </c>
      <c r="J195" s="2">
        <f t="shared" si="23"/>
        <v>234062.90864915051</v>
      </c>
    </row>
    <row r="196" spans="1:10" x14ac:dyDescent="0.35">
      <c r="A196" s="3">
        <v>190</v>
      </c>
      <c r="B196" s="8">
        <f t="shared" si="18"/>
        <v>51075</v>
      </c>
      <c r="C196" s="1">
        <f t="shared" si="24"/>
        <v>28509.779608498615</v>
      </c>
      <c r="D196" s="1">
        <f t="shared" si="25"/>
        <v>61462.815976518687</v>
      </c>
      <c r="E196" s="1">
        <f t="shared" si="26"/>
        <v>3739841.1318232967</v>
      </c>
      <c r="F196" s="7">
        <f t="shared" si="19"/>
        <v>0.24179069606518647</v>
      </c>
      <c r="G196" s="1">
        <f t="shared" si="20"/>
        <v>6893.3994562039397</v>
      </c>
      <c r="H196" s="2">
        <f t="shared" si="21"/>
        <v>109145.49138989572</v>
      </c>
      <c r="I196" s="1">
        <f t="shared" si="22"/>
        <v>14861.137057088918</v>
      </c>
      <c r="J196" s="2">
        <f t="shared" si="23"/>
        <v>235301.33673724122</v>
      </c>
    </row>
    <row r="197" spans="1:10" x14ac:dyDescent="0.35">
      <c r="A197" s="3">
        <v>191</v>
      </c>
      <c r="B197" s="8">
        <f t="shared" si="18"/>
        <v>51105</v>
      </c>
      <c r="C197" s="1">
        <f t="shared" si="24"/>
        <v>28048.808488674724</v>
      </c>
      <c r="D197" s="1">
        <f t="shared" si="25"/>
        <v>61923.787096342581</v>
      </c>
      <c r="E197" s="1">
        <f t="shared" si="26"/>
        <v>3677917.3447269541</v>
      </c>
      <c r="F197" s="7">
        <f t="shared" si="19"/>
        <v>0.23999076532524705</v>
      </c>
      <c r="G197" s="1">
        <f t="shared" si="20"/>
        <v>6731.4550156583327</v>
      </c>
      <c r="H197" s="2">
        <f t="shared" si="21"/>
        <v>107142.32566589513</v>
      </c>
      <c r="I197" s="1">
        <f t="shared" si="22"/>
        <v>14861.137057088914</v>
      </c>
      <c r="J197" s="2">
        <f t="shared" si="23"/>
        <v>236539.76482533186</v>
      </c>
    </row>
    <row r="198" spans="1:10" x14ac:dyDescent="0.35">
      <c r="A198" s="3">
        <v>192</v>
      </c>
      <c r="B198" s="8">
        <f t="shared" si="18"/>
        <v>51136</v>
      </c>
      <c r="C198" s="1">
        <f t="shared" si="24"/>
        <v>27584.380085452154</v>
      </c>
      <c r="D198" s="1">
        <f t="shared" si="25"/>
        <v>62388.215499565151</v>
      </c>
      <c r="E198" s="1">
        <f t="shared" si="26"/>
        <v>3615529.1292273891</v>
      </c>
      <c r="F198" s="7">
        <f t="shared" si="19"/>
        <v>0.23820423357344625</v>
      </c>
      <c r="G198" s="1">
        <f t="shared" si="20"/>
        <v>6570.7161168537641</v>
      </c>
      <c r="H198" s="2">
        <f t="shared" si="21"/>
        <v>105131.45786966023</v>
      </c>
      <c r="I198" s="1">
        <f t="shared" si="22"/>
        <v>14861.137057088918</v>
      </c>
      <c r="J198" s="2">
        <f t="shared" si="23"/>
        <v>237778.19291342268</v>
      </c>
    </row>
    <row r="199" spans="1:10" x14ac:dyDescent="0.35">
      <c r="A199" s="3">
        <v>193</v>
      </c>
      <c r="B199" s="8">
        <f t="shared" ref="B199:B246" si="27">EDATE($B$1,$A199)</f>
        <v>51167</v>
      </c>
      <c r="C199" s="1">
        <f t="shared" si="24"/>
        <v>27116.468469205418</v>
      </c>
      <c r="D199" s="1">
        <f t="shared" si="25"/>
        <v>62856.127115811891</v>
      </c>
      <c r="E199" s="1">
        <f t="shared" si="26"/>
        <v>3552673.0021115774</v>
      </c>
      <c r="F199" s="7">
        <f t="shared" ref="F199:F246" si="28">POWER(1+$B$2/12,-$A199)</f>
        <v>0.23643100106545534</v>
      </c>
      <c r="G199" s="1">
        <f t="shared" ref="G199:G246" si="29">$F199*$C199</f>
        <v>6411.1737855340925</v>
      </c>
      <c r="H199" s="2">
        <f t="shared" ref="H199:H262" si="30">$A199/12*G199</f>
        <v>103113.04505067332</v>
      </c>
      <c r="I199" s="1">
        <f t="shared" ref="I199:I246" si="31">$F199*$D199</f>
        <v>14861.137057088918</v>
      </c>
      <c r="J199" s="2">
        <f t="shared" ref="J199:J262" si="32">$A199/12*I199</f>
        <v>239016.62100151341</v>
      </c>
    </row>
    <row r="200" spans="1:10" x14ac:dyDescent="0.35">
      <c r="A200" s="3">
        <v>194</v>
      </c>
      <c r="B200" s="8">
        <f t="shared" si="27"/>
        <v>51196</v>
      </c>
      <c r="C200" s="1">
        <f t="shared" ref="C200:C246" si="33">$B$2/12*E199</f>
        <v>26645.047515836828</v>
      </c>
      <c r="D200" s="1">
        <f t="shared" ref="D200:D263" si="34">$B$5-C200</f>
        <v>63327.548069180477</v>
      </c>
      <c r="E200" s="1">
        <f t="shared" ref="E200:E263" si="35">E199-D200</f>
        <v>3489345.454042397</v>
      </c>
      <c r="F200" s="7">
        <f t="shared" si="28"/>
        <v>0.23467096879945937</v>
      </c>
      <c r="G200" s="1">
        <f t="shared" si="29"/>
        <v>6252.8191142490568</v>
      </c>
      <c r="H200" s="2">
        <f t="shared" si="30"/>
        <v>101087.24234702643</v>
      </c>
      <c r="I200" s="1">
        <f t="shared" si="31"/>
        <v>14861.137057088916</v>
      </c>
      <c r="J200" s="2">
        <f t="shared" si="32"/>
        <v>240255.04908960414</v>
      </c>
    </row>
    <row r="201" spans="1:10" x14ac:dyDescent="0.35">
      <c r="A201" s="3">
        <v>195</v>
      </c>
      <c r="B201" s="8">
        <f t="shared" si="27"/>
        <v>51227</v>
      </c>
      <c r="C201" s="1">
        <f t="shared" si="33"/>
        <v>26170.090905317975</v>
      </c>
      <c r="D201" s="1">
        <f t="shared" si="34"/>
        <v>63802.504679699327</v>
      </c>
      <c r="E201" s="1">
        <f t="shared" si="35"/>
        <v>3425542.9493626975</v>
      </c>
      <c r="F201" s="7">
        <f t="shared" si="28"/>
        <v>0.23292403851062962</v>
      </c>
      <c r="G201" s="1">
        <f t="shared" si="29"/>
        <v>6095.6432618569615</v>
      </c>
      <c r="H201" s="2">
        <f t="shared" si="30"/>
        <v>99054.20300517563</v>
      </c>
      <c r="I201" s="1">
        <f t="shared" si="31"/>
        <v>14861.137057088912</v>
      </c>
      <c r="J201" s="2">
        <f t="shared" si="32"/>
        <v>241493.47717769482</v>
      </c>
    </row>
    <row r="202" spans="1:10" x14ac:dyDescent="0.35">
      <c r="A202" s="3">
        <v>196</v>
      </c>
      <c r="B202" s="8">
        <f t="shared" si="27"/>
        <v>51257</v>
      </c>
      <c r="C202" s="1">
        <f t="shared" si="33"/>
        <v>25691.572120220229</v>
      </c>
      <c r="D202" s="1">
        <f t="shared" si="34"/>
        <v>64281.023464797079</v>
      </c>
      <c r="E202" s="1">
        <f t="shared" si="35"/>
        <v>3361261.9258979005</v>
      </c>
      <c r="F202" s="7">
        <f t="shared" si="28"/>
        <v>0.23119011266563733</v>
      </c>
      <c r="G202" s="1">
        <f t="shared" si="29"/>
        <v>5939.6374530310613</v>
      </c>
      <c r="H202" s="2">
        <f t="shared" si="30"/>
        <v>97014.078399507329</v>
      </c>
      <c r="I202" s="1">
        <f t="shared" si="31"/>
        <v>14861.137057088914</v>
      </c>
      <c r="J202" s="2">
        <f t="shared" si="32"/>
        <v>242731.90526578558</v>
      </c>
    </row>
    <row r="203" spans="1:10" x14ac:dyDescent="0.35">
      <c r="A203" s="3">
        <v>197</v>
      </c>
      <c r="B203" s="8">
        <f t="shared" si="27"/>
        <v>51288</v>
      </c>
      <c r="C203" s="1">
        <f t="shared" si="33"/>
        <v>25209.464444234254</v>
      </c>
      <c r="D203" s="1">
        <f t="shared" si="34"/>
        <v>64763.131140783051</v>
      </c>
      <c r="E203" s="1">
        <f t="shared" si="35"/>
        <v>3296498.7947571175</v>
      </c>
      <c r="F203" s="7">
        <f t="shared" si="28"/>
        <v>0.22946909445720823</v>
      </c>
      <c r="G203" s="1">
        <f t="shared" si="29"/>
        <v>5784.7929777696227</v>
      </c>
      <c r="H203" s="2">
        <f t="shared" si="30"/>
        <v>94967.018051717983</v>
      </c>
      <c r="I203" s="1">
        <f t="shared" si="31"/>
        <v>14861.13705708891</v>
      </c>
      <c r="J203" s="2">
        <f t="shared" si="32"/>
        <v>243970.33335387628</v>
      </c>
    </row>
    <row r="204" spans="1:10" x14ac:dyDescent="0.35">
      <c r="A204" s="3">
        <v>198</v>
      </c>
      <c r="B204" s="8">
        <f t="shared" si="27"/>
        <v>51318</v>
      </c>
      <c r="C204" s="1">
        <f t="shared" si="33"/>
        <v>24723.74096067838</v>
      </c>
      <c r="D204" s="1">
        <f t="shared" si="34"/>
        <v>65248.854624338928</v>
      </c>
      <c r="E204" s="1">
        <f t="shared" si="35"/>
        <v>3231249.9401327786</v>
      </c>
      <c r="F204" s="7">
        <f t="shared" si="28"/>
        <v>0.22776088779871781</v>
      </c>
      <c r="G204" s="1">
        <f t="shared" si="29"/>
        <v>5631.1011909096324</v>
      </c>
      <c r="H204" s="2">
        <f t="shared" si="30"/>
        <v>92913.169650008931</v>
      </c>
      <c r="I204" s="1">
        <f t="shared" si="31"/>
        <v>14861.137057088908</v>
      </c>
      <c r="J204" s="2">
        <f t="shared" si="32"/>
        <v>245208.76144196698</v>
      </c>
    </row>
    <row r="205" spans="1:10" x14ac:dyDescent="0.35">
      <c r="A205" s="3">
        <v>199</v>
      </c>
      <c r="B205" s="8">
        <f t="shared" si="27"/>
        <v>51349</v>
      </c>
      <c r="C205" s="1">
        <f t="shared" si="33"/>
        <v>24234.374550995839</v>
      </c>
      <c r="D205" s="1">
        <f t="shared" si="34"/>
        <v>65738.221034021466</v>
      </c>
      <c r="E205" s="1">
        <f t="shared" si="35"/>
        <v>3165511.719098757</v>
      </c>
      <c r="F205" s="7">
        <f t="shared" si="28"/>
        <v>0.22606539731882658</v>
      </c>
      <c r="G205" s="1">
        <f t="shared" si="29"/>
        <v>5478.5535116441333</v>
      </c>
      <c r="H205" s="2">
        <f t="shared" si="30"/>
        <v>90852.679068098543</v>
      </c>
      <c r="I205" s="1">
        <f t="shared" si="31"/>
        <v>14861.137057088905</v>
      </c>
      <c r="J205" s="2">
        <f t="shared" si="32"/>
        <v>246447.18953005766</v>
      </c>
    </row>
    <row r="206" spans="1:10" x14ac:dyDescent="0.35">
      <c r="A206" s="3">
        <v>200</v>
      </c>
      <c r="B206" s="8">
        <f t="shared" si="27"/>
        <v>51380</v>
      </c>
      <c r="C206" s="1">
        <f t="shared" si="33"/>
        <v>23741.337893240678</v>
      </c>
      <c r="D206" s="1">
        <f t="shared" si="34"/>
        <v>66231.257691776627</v>
      </c>
      <c r="E206" s="1">
        <f t="shared" si="35"/>
        <v>3099280.4614069802</v>
      </c>
      <c r="F206" s="7">
        <f t="shared" si="28"/>
        <v>0.22438252835615541</v>
      </c>
      <c r="G206" s="1">
        <f t="shared" si="29"/>
        <v>5327.1414230431428</v>
      </c>
      <c r="H206" s="2">
        <f t="shared" si="30"/>
        <v>88785.690384052388</v>
      </c>
      <c r="I206" s="1">
        <f t="shared" si="31"/>
        <v>14861.137057088905</v>
      </c>
      <c r="J206" s="2">
        <f t="shared" si="32"/>
        <v>247685.61761814842</v>
      </c>
    </row>
    <row r="207" spans="1:10" x14ac:dyDescent="0.35">
      <c r="A207" s="3">
        <v>201</v>
      </c>
      <c r="B207" s="8">
        <f t="shared" si="27"/>
        <v>51410</v>
      </c>
      <c r="C207" s="1">
        <f t="shared" si="33"/>
        <v>23244.603460552349</v>
      </c>
      <c r="D207" s="1">
        <f t="shared" si="34"/>
        <v>66727.992124464959</v>
      </c>
      <c r="E207" s="1">
        <f t="shared" si="35"/>
        <v>3032552.4692825153</v>
      </c>
      <c r="F207" s="7">
        <f t="shared" si="28"/>
        <v>0.22271218695400044</v>
      </c>
      <c r="G207" s="1">
        <f t="shared" si="29"/>
        <v>5176.8564715781404</v>
      </c>
      <c r="H207" s="2">
        <f t="shared" si="30"/>
        <v>86712.345898933854</v>
      </c>
      <c r="I207" s="1">
        <f t="shared" si="31"/>
        <v>14861.137057088908</v>
      </c>
      <c r="J207" s="2">
        <f t="shared" si="32"/>
        <v>248924.04570623921</v>
      </c>
    </row>
    <row r="208" spans="1:10" x14ac:dyDescent="0.35">
      <c r="A208" s="3">
        <v>202</v>
      </c>
      <c r="B208" s="8">
        <f t="shared" si="27"/>
        <v>51441</v>
      </c>
      <c r="C208" s="1">
        <f t="shared" si="33"/>
        <v>22744.143519618865</v>
      </c>
      <c r="D208" s="1">
        <f t="shared" si="34"/>
        <v>67228.452065398436</v>
      </c>
      <c r="E208" s="1">
        <f t="shared" si="35"/>
        <v>2965324.0172171169</v>
      </c>
      <c r="F208" s="7">
        <f t="shared" si="28"/>
        <v>0.22105427985508724</v>
      </c>
      <c r="G208" s="1">
        <f t="shared" si="29"/>
        <v>5027.6902666500973</v>
      </c>
      <c r="H208" s="2">
        <f t="shared" si="30"/>
        <v>84632.786155276626</v>
      </c>
      <c r="I208" s="1">
        <f t="shared" si="31"/>
        <v>14861.137057088905</v>
      </c>
      <c r="J208" s="2">
        <f t="shared" si="32"/>
        <v>250162.47379432988</v>
      </c>
    </row>
    <row r="209" spans="1:10" x14ac:dyDescent="0.35">
      <c r="A209" s="3">
        <v>203</v>
      </c>
      <c r="B209" s="8">
        <f t="shared" si="27"/>
        <v>51471</v>
      </c>
      <c r="C209" s="1">
        <f t="shared" si="33"/>
        <v>22239.930129128377</v>
      </c>
      <c r="D209" s="1">
        <f t="shared" si="34"/>
        <v>67732.665455888928</v>
      </c>
      <c r="E209" s="1">
        <f t="shared" si="35"/>
        <v>2897591.3517612279</v>
      </c>
      <c r="F209" s="7">
        <f t="shared" si="28"/>
        <v>0.21940871449636445</v>
      </c>
      <c r="G209" s="1">
        <f t="shared" si="29"/>
        <v>4879.6344801210216</v>
      </c>
      <c r="H209" s="2">
        <f t="shared" si="30"/>
        <v>82547.149955380621</v>
      </c>
      <c r="I209" s="1">
        <f t="shared" si="31"/>
        <v>14861.137057088901</v>
      </c>
      <c r="J209" s="2">
        <f t="shared" si="32"/>
        <v>251400.90188242059</v>
      </c>
    </row>
    <row r="210" spans="1:10" x14ac:dyDescent="0.35">
      <c r="A210" s="3">
        <v>204</v>
      </c>
      <c r="B210" s="8">
        <f t="shared" si="27"/>
        <v>51502</v>
      </c>
      <c r="C210" s="1">
        <f t="shared" si="33"/>
        <v>21731.93513820921</v>
      </c>
      <c r="D210" s="1">
        <f t="shared" si="34"/>
        <v>68240.660446808091</v>
      </c>
      <c r="E210" s="1">
        <f t="shared" si="35"/>
        <v>2829350.6913144197</v>
      </c>
      <c r="F210" s="7">
        <f t="shared" si="28"/>
        <v>0.21777539900383569</v>
      </c>
      <c r="G210" s="1">
        <f t="shared" si="29"/>
        <v>4732.6808458489877</v>
      </c>
      <c r="H210" s="2">
        <f t="shared" si="30"/>
        <v>80455.574379432786</v>
      </c>
      <c r="I210" s="1">
        <f t="shared" si="31"/>
        <v>14861.137057088901</v>
      </c>
      <c r="J210" s="2">
        <f t="shared" si="32"/>
        <v>252639.32997051132</v>
      </c>
    </row>
    <row r="211" spans="1:10" x14ac:dyDescent="0.35">
      <c r="A211" s="3">
        <v>205</v>
      </c>
      <c r="B211" s="8">
        <f t="shared" si="27"/>
        <v>51533</v>
      </c>
      <c r="C211" s="1">
        <f t="shared" si="33"/>
        <v>21220.130184858146</v>
      </c>
      <c r="D211" s="1">
        <f t="shared" si="34"/>
        <v>68752.465400159155</v>
      </c>
      <c r="E211" s="1">
        <f t="shared" si="35"/>
        <v>2760598.2259142604</v>
      </c>
      <c r="F211" s="7">
        <f t="shared" si="28"/>
        <v>0.21615424218742998</v>
      </c>
      <c r="G211" s="1">
        <f t="shared" si="29"/>
        <v>4586.8211592266207</v>
      </c>
      <c r="H211" s="2">
        <f t="shared" si="30"/>
        <v>78358.194803454768</v>
      </c>
      <c r="I211" s="1">
        <f t="shared" si="31"/>
        <v>14861.137057088903</v>
      </c>
      <c r="J211" s="2">
        <f t="shared" si="32"/>
        <v>253877.75805860208</v>
      </c>
    </row>
    <row r="212" spans="1:10" x14ac:dyDescent="0.35">
      <c r="A212" s="3">
        <v>206</v>
      </c>
      <c r="B212" s="8">
        <f t="shared" si="27"/>
        <v>51561</v>
      </c>
      <c r="C212" s="1">
        <f t="shared" si="33"/>
        <v>20704.48669435695</v>
      </c>
      <c r="D212" s="1">
        <f t="shared" si="34"/>
        <v>69268.108890660355</v>
      </c>
      <c r="E212" s="1">
        <f t="shared" si="35"/>
        <v>2691330.1170235998</v>
      </c>
      <c r="F212" s="7">
        <f t="shared" si="28"/>
        <v>0.21454515353591055</v>
      </c>
      <c r="G212" s="1">
        <f t="shared" si="29"/>
        <v>4442.0472767230294</v>
      </c>
      <c r="H212" s="2">
        <f t="shared" si="30"/>
        <v>76255.14491707868</v>
      </c>
      <c r="I212" s="1">
        <f t="shared" si="31"/>
        <v>14861.137057088898</v>
      </c>
      <c r="J212" s="2">
        <f t="shared" si="32"/>
        <v>255116.18614669275</v>
      </c>
    </row>
    <row r="213" spans="1:10" x14ac:dyDescent="0.35">
      <c r="A213" s="3">
        <v>207</v>
      </c>
      <c r="B213" s="8">
        <f t="shared" si="27"/>
        <v>51592</v>
      </c>
      <c r="C213" s="1">
        <f t="shared" si="33"/>
        <v>20184.975877677</v>
      </c>
      <c r="D213" s="1">
        <f t="shared" si="34"/>
        <v>69787.619707340302</v>
      </c>
      <c r="E213" s="1">
        <f t="shared" si="35"/>
        <v>2621542.4973162594</v>
      </c>
      <c r="F213" s="7">
        <f t="shared" si="28"/>
        <v>0.21294804321182187</v>
      </c>
      <c r="G213" s="1">
        <f t="shared" si="29"/>
        <v>4298.3511154291436</v>
      </c>
      <c r="H213" s="2">
        <f t="shared" si="30"/>
        <v>74146.55674115273</v>
      </c>
      <c r="I213" s="1">
        <f t="shared" si="31"/>
        <v>14861.137057088894</v>
      </c>
      <c r="J213" s="2">
        <f t="shared" si="32"/>
        <v>256354.61423478342</v>
      </c>
    </row>
    <row r="214" spans="1:10" x14ac:dyDescent="0.35">
      <c r="A214" s="3">
        <v>208</v>
      </c>
      <c r="B214" s="8">
        <f t="shared" si="27"/>
        <v>51622</v>
      </c>
      <c r="C214" s="1">
        <f t="shared" si="33"/>
        <v>19661.568729871946</v>
      </c>
      <c r="D214" s="1">
        <f t="shared" si="34"/>
        <v>70311.026855145363</v>
      </c>
      <c r="E214" s="1">
        <f t="shared" si="35"/>
        <v>2551231.4704611138</v>
      </c>
      <c r="F214" s="7">
        <f t="shared" si="28"/>
        <v>0.21136282204647336</v>
      </c>
      <c r="G214" s="1">
        <f t="shared" si="29"/>
        <v>4155.7246526064291</v>
      </c>
      <c r="H214" s="2">
        <f t="shared" si="30"/>
        <v>72032.560645178106</v>
      </c>
      <c r="I214" s="1">
        <f t="shared" si="31"/>
        <v>14861.137057088899</v>
      </c>
      <c r="J214" s="2">
        <f t="shared" si="32"/>
        <v>257593.04232287424</v>
      </c>
    </row>
    <row r="215" spans="1:10" x14ac:dyDescent="0.35">
      <c r="A215" s="3">
        <v>209</v>
      </c>
      <c r="B215" s="8">
        <f t="shared" si="27"/>
        <v>51653</v>
      </c>
      <c r="C215" s="1">
        <f t="shared" si="33"/>
        <v>19134.236028458352</v>
      </c>
      <c r="D215" s="1">
        <f t="shared" si="34"/>
        <v>70838.359556558949</v>
      </c>
      <c r="E215" s="1">
        <f t="shared" si="35"/>
        <v>2480393.1109045548</v>
      </c>
      <c r="F215" s="7">
        <f t="shared" si="28"/>
        <v>0.20978940153496115</v>
      </c>
      <c r="G215" s="1">
        <f t="shared" si="29"/>
        <v>4014.1599252389692</v>
      </c>
      <c r="H215" s="2">
        <f t="shared" si="30"/>
        <v>69913.285364578725</v>
      </c>
      <c r="I215" s="1">
        <f t="shared" si="31"/>
        <v>14861.137057088898</v>
      </c>
      <c r="J215" s="2">
        <f t="shared" si="32"/>
        <v>258831.47041096498</v>
      </c>
    </row>
    <row r="216" spans="1:10" x14ac:dyDescent="0.35">
      <c r="A216" s="3">
        <v>210</v>
      </c>
      <c r="B216" s="8">
        <f t="shared" si="27"/>
        <v>51683</v>
      </c>
      <c r="C216" s="1">
        <f t="shared" si="33"/>
        <v>18602.948331784162</v>
      </c>
      <c r="D216" s="1">
        <f t="shared" si="34"/>
        <v>71369.647253233139</v>
      </c>
      <c r="E216" s="1">
        <f t="shared" si="35"/>
        <v>2409023.4636513218</v>
      </c>
      <c r="F216" s="7">
        <f t="shared" si="28"/>
        <v>0.20822769383122691</v>
      </c>
      <c r="G216" s="1">
        <f t="shared" si="29"/>
        <v>3873.6490295888862</v>
      </c>
      <c r="H216" s="2">
        <f t="shared" si="30"/>
        <v>67788.858017805513</v>
      </c>
      <c r="I216" s="1">
        <f t="shared" si="31"/>
        <v>14861.137057088896</v>
      </c>
      <c r="J216" s="2">
        <f t="shared" si="32"/>
        <v>260069.89849905568</v>
      </c>
    </row>
    <row r="217" spans="1:10" x14ac:dyDescent="0.35">
      <c r="A217" s="3">
        <v>211</v>
      </c>
      <c r="B217" s="8">
        <f t="shared" si="27"/>
        <v>51714</v>
      </c>
      <c r="C217" s="1">
        <f t="shared" si="33"/>
        <v>18067.675977384912</v>
      </c>
      <c r="D217" s="1">
        <f t="shared" si="34"/>
        <v>71904.919607632386</v>
      </c>
      <c r="E217" s="1">
        <f t="shared" si="35"/>
        <v>2337118.5440436895</v>
      </c>
      <c r="F217" s="7">
        <f t="shared" si="28"/>
        <v>0.20667761174315324</v>
      </c>
      <c r="G217" s="1">
        <f t="shared" si="29"/>
        <v>3734.1841207550556</v>
      </c>
      <c r="H217" s="2">
        <f t="shared" si="30"/>
        <v>65659.404123276385</v>
      </c>
      <c r="I217" s="1">
        <f t="shared" si="31"/>
        <v>14861.137057088894</v>
      </c>
      <c r="J217" s="2">
        <f t="shared" si="32"/>
        <v>261308.32658714638</v>
      </c>
    </row>
    <row r="218" spans="1:10" x14ac:dyDescent="0.35">
      <c r="A218" s="3">
        <v>212</v>
      </c>
      <c r="B218" s="8">
        <f t="shared" si="27"/>
        <v>51745</v>
      </c>
      <c r="C218" s="1">
        <f t="shared" si="33"/>
        <v>17528.38908032767</v>
      </c>
      <c r="D218" s="1">
        <f t="shared" si="34"/>
        <v>72444.206504689631</v>
      </c>
      <c r="E218" s="1">
        <f t="shared" si="35"/>
        <v>2264674.337539</v>
      </c>
      <c r="F218" s="7">
        <f t="shared" si="28"/>
        <v>0.20513906872769549</v>
      </c>
      <c r="G218" s="1">
        <f t="shared" si="29"/>
        <v>3595.7574122351252</v>
      </c>
      <c r="H218" s="2">
        <f t="shared" si="30"/>
        <v>63525.047616153883</v>
      </c>
      <c r="I218" s="1">
        <f t="shared" si="31"/>
        <v>14861.137057088892</v>
      </c>
      <c r="J218" s="2">
        <f t="shared" si="32"/>
        <v>262546.75467523711</v>
      </c>
    </row>
    <row r="219" spans="1:10" x14ac:dyDescent="0.35">
      <c r="A219" s="3">
        <v>213</v>
      </c>
      <c r="B219" s="8">
        <f t="shared" si="27"/>
        <v>51775</v>
      </c>
      <c r="C219" s="1">
        <f t="shared" si="33"/>
        <v>16985.057531542498</v>
      </c>
      <c r="D219" s="1">
        <f t="shared" si="34"/>
        <v>72987.538053474811</v>
      </c>
      <c r="E219" s="1">
        <f t="shared" si="35"/>
        <v>2191686.7994855251</v>
      </c>
      <c r="F219" s="7">
        <f t="shared" si="28"/>
        <v>0.20361197888605012</v>
      </c>
      <c r="G219" s="1">
        <f t="shared" si="29"/>
        <v>3458.3611754907774</v>
      </c>
      <c r="H219" s="2">
        <f t="shared" si="30"/>
        <v>61385.910864961297</v>
      </c>
      <c r="I219" s="1">
        <f t="shared" si="31"/>
        <v>14861.137057088892</v>
      </c>
      <c r="J219" s="2">
        <f t="shared" si="32"/>
        <v>263785.18276332784</v>
      </c>
    </row>
    <row r="220" spans="1:10" x14ac:dyDescent="0.35">
      <c r="A220" s="3">
        <v>214</v>
      </c>
      <c r="B220" s="8">
        <f t="shared" si="27"/>
        <v>51806</v>
      </c>
      <c r="C220" s="1">
        <f t="shared" si="33"/>
        <v>16437.650996141438</v>
      </c>
      <c r="D220" s="1">
        <f t="shared" si="34"/>
        <v>73534.944588875864</v>
      </c>
      <c r="E220" s="1">
        <f t="shared" si="35"/>
        <v>2118151.8548966493</v>
      </c>
      <c r="F220" s="7">
        <f t="shared" si="28"/>
        <v>0.20209625695885861</v>
      </c>
      <c r="G220" s="1">
        <f t="shared" si="29"/>
        <v>3321.987739516238</v>
      </c>
      <c r="H220" s="2">
        <f t="shared" si="30"/>
        <v>59242.114688039575</v>
      </c>
      <c r="I220" s="1">
        <f t="shared" si="31"/>
        <v>14861.137057088885</v>
      </c>
      <c r="J220" s="2">
        <f t="shared" si="32"/>
        <v>265023.6108514184</v>
      </c>
    </row>
    <row r="221" spans="1:10" x14ac:dyDescent="0.35">
      <c r="A221" s="3">
        <v>215</v>
      </c>
      <c r="B221" s="8">
        <f t="shared" si="27"/>
        <v>51836</v>
      </c>
      <c r="C221" s="1">
        <f t="shared" si="33"/>
        <v>15886.138911724869</v>
      </c>
      <c r="D221" s="1">
        <f t="shared" si="34"/>
        <v>74086.456673292443</v>
      </c>
      <c r="E221" s="1">
        <f t="shared" si="35"/>
        <v>2044065.3982233568</v>
      </c>
      <c r="F221" s="7">
        <f t="shared" si="28"/>
        <v>0.20059181832144776</v>
      </c>
      <c r="G221" s="1">
        <f t="shared" si="29"/>
        <v>3186.6294904099968</v>
      </c>
      <c r="H221" s="2">
        <f t="shared" si="30"/>
        <v>57093.778369845779</v>
      </c>
      <c r="I221" s="1">
        <f t="shared" si="31"/>
        <v>14861.137057088888</v>
      </c>
      <c r="J221" s="2">
        <f t="shared" si="32"/>
        <v>266262.03893950925</v>
      </c>
    </row>
    <row r="222" spans="1:10" x14ac:dyDescent="0.35">
      <c r="A222" s="3">
        <v>216</v>
      </c>
      <c r="B222" s="8">
        <f t="shared" si="27"/>
        <v>51867</v>
      </c>
      <c r="C222" s="1">
        <f t="shared" si="33"/>
        <v>15330.490486675175</v>
      </c>
      <c r="D222" s="1">
        <f t="shared" si="34"/>
        <v>74642.10509834213</v>
      </c>
      <c r="E222" s="1">
        <f t="shared" si="35"/>
        <v>1969423.2931250148</v>
      </c>
      <c r="F222" s="7">
        <f t="shared" si="28"/>
        <v>0.19909857897910449</v>
      </c>
      <c r="G222" s="1">
        <f t="shared" si="29"/>
        <v>3052.2788709497072</v>
      </c>
      <c r="H222" s="2">
        <f t="shared" si="30"/>
        <v>54941.01967709473</v>
      </c>
      <c r="I222" s="1">
        <f t="shared" si="31"/>
        <v>14861.137057088888</v>
      </c>
      <c r="J222" s="2">
        <f t="shared" si="32"/>
        <v>267500.46702759998</v>
      </c>
    </row>
    <row r="223" spans="1:10" x14ac:dyDescent="0.35">
      <c r="A223" s="3">
        <v>217</v>
      </c>
      <c r="B223" s="8">
        <f t="shared" si="27"/>
        <v>51898</v>
      </c>
      <c r="C223" s="1">
        <f t="shared" si="33"/>
        <v>14770.67469843761</v>
      </c>
      <c r="D223" s="1">
        <f t="shared" si="34"/>
        <v>75201.920886579697</v>
      </c>
      <c r="E223" s="1">
        <f t="shared" si="35"/>
        <v>1894221.3722384351</v>
      </c>
      <c r="F223" s="7">
        <f t="shared" si="28"/>
        <v>0.19761645556238655</v>
      </c>
      <c r="G223" s="1">
        <f t="shared" si="29"/>
        <v>2918.9283801702632</v>
      </c>
      <c r="H223" s="2">
        <f t="shared" si="30"/>
        <v>52783.954874745592</v>
      </c>
      <c r="I223" s="1">
        <f t="shared" si="31"/>
        <v>14861.137057088885</v>
      </c>
      <c r="J223" s="2">
        <f t="shared" si="32"/>
        <v>268738.89511569066</v>
      </c>
    </row>
    <row r="224" spans="1:10" x14ac:dyDescent="0.35">
      <c r="A224" s="3">
        <v>218</v>
      </c>
      <c r="B224" s="8">
        <f t="shared" si="27"/>
        <v>51926</v>
      </c>
      <c r="C224" s="1">
        <f t="shared" si="33"/>
        <v>14206.660291788263</v>
      </c>
      <c r="D224" s="1">
        <f t="shared" si="34"/>
        <v>75765.935293229035</v>
      </c>
      <c r="E224" s="1">
        <f t="shared" si="35"/>
        <v>1818455.436945206</v>
      </c>
      <c r="F224" s="7">
        <f t="shared" si="28"/>
        <v>0.19614536532246801</v>
      </c>
      <c r="G224" s="1">
        <f t="shared" si="29"/>
        <v>2786.5705729450087</v>
      </c>
      <c r="H224" s="2">
        <f t="shared" si="30"/>
        <v>50622.698741834327</v>
      </c>
      <c r="I224" s="1">
        <f t="shared" si="31"/>
        <v>14861.137057088881</v>
      </c>
      <c r="J224" s="2">
        <f t="shared" si="32"/>
        <v>269977.32320378139</v>
      </c>
    </row>
    <row r="225" spans="1:10" x14ac:dyDescent="0.35">
      <c r="A225" s="3">
        <v>219</v>
      </c>
      <c r="B225" s="8">
        <f t="shared" si="27"/>
        <v>51957</v>
      </c>
      <c r="C225" s="1">
        <f t="shared" si="33"/>
        <v>13638.415777089045</v>
      </c>
      <c r="D225" s="1">
        <f t="shared" si="34"/>
        <v>76334.17980792826</v>
      </c>
      <c r="E225" s="1">
        <f t="shared" si="35"/>
        <v>1742121.2571372779</v>
      </c>
      <c r="F225" s="7">
        <f t="shared" si="28"/>
        <v>0.19468522612651912</v>
      </c>
      <c r="G225" s="1">
        <f t="shared" si="29"/>
        <v>2655.1980595700666</v>
      </c>
      <c r="H225" s="2">
        <f t="shared" si="30"/>
        <v>48457.364587153716</v>
      </c>
      <c r="I225" s="1">
        <f t="shared" si="31"/>
        <v>14861.137057088883</v>
      </c>
      <c r="J225" s="2">
        <f t="shared" si="32"/>
        <v>271215.75129187212</v>
      </c>
    </row>
    <row r="226" spans="1:10" x14ac:dyDescent="0.35">
      <c r="A226" s="3">
        <v>220</v>
      </c>
      <c r="B226" s="8">
        <f t="shared" si="27"/>
        <v>51987</v>
      </c>
      <c r="C226" s="1">
        <f t="shared" si="33"/>
        <v>13065.909428529583</v>
      </c>
      <c r="D226" s="1">
        <f t="shared" si="34"/>
        <v>76906.686156487718</v>
      </c>
      <c r="E226" s="1">
        <f t="shared" si="35"/>
        <v>1665214.5709807901</v>
      </c>
      <c r="F226" s="7">
        <f t="shared" si="28"/>
        <v>0.19323595645312067</v>
      </c>
      <c r="G226" s="1">
        <f t="shared" si="29"/>
        <v>2524.8035053517615</v>
      </c>
      <c r="H226" s="2">
        <f t="shared" si="30"/>
        <v>46288.06426478229</v>
      </c>
      <c r="I226" s="1">
        <f t="shared" si="31"/>
        <v>14861.137057088879</v>
      </c>
      <c r="J226" s="2">
        <f t="shared" si="32"/>
        <v>272454.17937996279</v>
      </c>
    </row>
    <row r="227" spans="1:10" x14ac:dyDescent="0.35">
      <c r="A227" s="3">
        <v>221</v>
      </c>
      <c r="B227" s="8">
        <f t="shared" si="27"/>
        <v>52018</v>
      </c>
      <c r="C227" s="1">
        <f t="shared" si="33"/>
        <v>12489.109282355925</v>
      </c>
      <c r="D227" s="1">
        <f t="shared" si="34"/>
        <v>77483.486302661375</v>
      </c>
      <c r="E227" s="1">
        <f t="shared" si="35"/>
        <v>1587731.0846781286</v>
      </c>
      <c r="F227" s="7">
        <f t="shared" si="28"/>
        <v>0.19179747538771283</v>
      </c>
      <c r="G227" s="1">
        <f t="shared" si="29"/>
        <v>2395.3796301971165</v>
      </c>
      <c r="H227" s="2">
        <f t="shared" si="30"/>
        <v>44114.908189463567</v>
      </c>
      <c r="I227" s="1">
        <f t="shared" si="31"/>
        <v>14861.137057088879</v>
      </c>
      <c r="J227" s="2">
        <f t="shared" si="32"/>
        <v>273692.60746805352</v>
      </c>
    </row>
    <row r="228" spans="1:10" x14ac:dyDescent="0.35">
      <c r="A228" s="3">
        <v>222</v>
      </c>
      <c r="B228" s="8">
        <f t="shared" si="27"/>
        <v>52048</v>
      </c>
      <c r="C228" s="1">
        <f t="shared" si="33"/>
        <v>11907.983135085964</v>
      </c>
      <c r="D228" s="1">
        <f t="shared" si="34"/>
        <v>78064.612449931345</v>
      </c>
      <c r="E228" s="1">
        <f t="shared" si="35"/>
        <v>1509666.4722281971</v>
      </c>
      <c r="F228" s="7">
        <f t="shared" si="28"/>
        <v>0.1903697026180772</v>
      </c>
      <c r="G228" s="1">
        <f t="shared" si="29"/>
        <v>2266.9192082073937</v>
      </c>
      <c r="H228" s="2">
        <f t="shared" si="30"/>
        <v>41938.005351836786</v>
      </c>
      <c r="I228" s="1">
        <f t="shared" si="31"/>
        <v>14861.137057088878</v>
      </c>
      <c r="J228" s="2">
        <f t="shared" si="32"/>
        <v>274931.03555614426</v>
      </c>
    </row>
    <row r="229" spans="1:10" x14ac:dyDescent="0.35">
      <c r="A229" s="3">
        <v>223</v>
      </c>
      <c r="B229" s="8">
        <f t="shared" si="27"/>
        <v>52079</v>
      </c>
      <c r="C229" s="1">
        <f t="shared" si="33"/>
        <v>11322.498541711479</v>
      </c>
      <c r="D229" s="1">
        <f t="shared" si="34"/>
        <v>78650.097043305825</v>
      </c>
      <c r="E229" s="1">
        <f t="shared" si="35"/>
        <v>1431016.3751848913</v>
      </c>
      <c r="F229" s="7">
        <f t="shared" si="28"/>
        <v>0.18895255842985328</v>
      </c>
      <c r="G229" s="1">
        <f t="shared" si="29"/>
        <v>2139.4150672746669</v>
      </c>
      <c r="H229" s="2">
        <f t="shared" si="30"/>
        <v>39757.463333520893</v>
      </c>
      <c r="I229" s="1">
        <f t="shared" si="31"/>
        <v>14861.137057088876</v>
      </c>
      <c r="J229" s="2">
        <f t="shared" si="32"/>
        <v>276169.46364423493</v>
      </c>
    </row>
    <row r="230" spans="1:10" x14ac:dyDescent="0.35">
      <c r="A230" s="3">
        <v>224</v>
      </c>
      <c r="B230" s="8">
        <f t="shared" si="27"/>
        <v>52110</v>
      </c>
      <c r="C230" s="1">
        <f t="shared" si="33"/>
        <v>10732.622813886685</v>
      </c>
      <c r="D230" s="1">
        <f t="shared" si="34"/>
        <v>79239.972771130619</v>
      </c>
      <c r="E230" s="1">
        <f t="shared" si="35"/>
        <v>1351776.4024137608</v>
      </c>
      <c r="F230" s="7">
        <f t="shared" si="28"/>
        <v>0.18754596370208768</v>
      </c>
      <c r="G230" s="1">
        <f t="shared" si="29"/>
        <v>2012.8600886813902</v>
      </c>
      <c r="H230" s="2">
        <f t="shared" si="30"/>
        <v>37573.388322052619</v>
      </c>
      <c r="I230" s="1">
        <f t="shared" si="31"/>
        <v>14861.137057088879</v>
      </c>
      <c r="J230" s="2">
        <f t="shared" si="32"/>
        <v>277407.89173232578</v>
      </c>
    </row>
    <row r="231" spans="1:10" x14ac:dyDescent="0.35">
      <c r="A231" s="3">
        <v>225</v>
      </c>
      <c r="B231" s="8">
        <f t="shared" si="27"/>
        <v>52140</v>
      </c>
      <c r="C231" s="1">
        <f t="shared" si="33"/>
        <v>10138.323018103205</v>
      </c>
      <c r="D231" s="1">
        <f t="shared" si="34"/>
        <v>79834.272566914093</v>
      </c>
      <c r="E231" s="1">
        <f t="shared" si="35"/>
        <v>1271942.1298468467</v>
      </c>
      <c r="F231" s="7">
        <f t="shared" si="28"/>
        <v>0.18614983990281653</v>
      </c>
      <c r="G231" s="1">
        <f t="shared" si="29"/>
        <v>1887.2472067029512</v>
      </c>
      <c r="H231" s="2">
        <f t="shared" si="30"/>
        <v>35385.885125680332</v>
      </c>
      <c r="I231" s="1">
        <f t="shared" si="31"/>
        <v>14861.137057088876</v>
      </c>
      <c r="J231" s="2">
        <f t="shared" si="32"/>
        <v>278646.31982041639</v>
      </c>
    </row>
    <row r="232" spans="1:10" x14ac:dyDescent="0.35">
      <c r="A232" s="3">
        <v>226</v>
      </c>
      <c r="B232" s="8">
        <f t="shared" si="27"/>
        <v>52171</v>
      </c>
      <c r="C232" s="1">
        <f t="shared" si="33"/>
        <v>9539.5659738513496</v>
      </c>
      <c r="D232" s="1">
        <f t="shared" si="34"/>
        <v>80433.029611165955</v>
      </c>
      <c r="E232" s="1">
        <f t="shared" si="35"/>
        <v>1191509.1002356808</v>
      </c>
      <c r="F232" s="7">
        <f t="shared" si="28"/>
        <v>0.18476410908468138</v>
      </c>
      <c r="G232" s="1">
        <f t="shared" si="29"/>
        <v>1762.5694082131856</v>
      </c>
      <c r="H232" s="2">
        <f t="shared" si="30"/>
        <v>33195.057188014995</v>
      </c>
      <c r="I232" s="1">
        <f t="shared" si="31"/>
        <v>14861.137057088874</v>
      </c>
      <c r="J232" s="2">
        <f t="shared" si="32"/>
        <v>279884.74790850712</v>
      </c>
    </row>
    <row r="233" spans="1:10" x14ac:dyDescent="0.35">
      <c r="A233" s="3">
        <v>227</v>
      </c>
      <c r="B233" s="8">
        <f t="shared" si="27"/>
        <v>52201</v>
      </c>
      <c r="C233" s="1">
        <f t="shared" si="33"/>
        <v>8936.318251767605</v>
      </c>
      <c r="D233" s="1">
        <f t="shared" si="34"/>
        <v>81036.277333249702</v>
      </c>
      <c r="E233" s="1">
        <f t="shared" si="35"/>
        <v>1110472.822902431</v>
      </c>
      <c r="F233" s="7">
        <f t="shared" si="28"/>
        <v>0.18338869388057705</v>
      </c>
      <c r="G233" s="1">
        <f t="shared" si="29"/>
        <v>1638.8197322928227</v>
      </c>
      <c r="H233" s="2">
        <f t="shared" si="30"/>
        <v>31001.00660253923</v>
      </c>
      <c r="I233" s="1">
        <f t="shared" si="31"/>
        <v>14861.137057088874</v>
      </c>
      <c r="J233" s="2">
        <f t="shared" si="32"/>
        <v>281123.17599659786</v>
      </c>
    </row>
    <row r="234" spans="1:10" x14ac:dyDescent="0.35">
      <c r="A234" s="3">
        <v>228</v>
      </c>
      <c r="B234" s="8">
        <f t="shared" si="27"/>
        <v>52232</v>
      </c>
      <c r="C234" s="1">
        <f t="shared" si="33"/>
        <v>8328.5461717682319</v>
      </c>
      <c r="D234" s="1">
        <f t="shared" si="34"/>
        <v>81644.049413249071</v>
      </c>
      <c r="E234" s="1">
        <f t="shared" si="35"/>
        <v>1028828.7734891819</v>
      </c>
      <c r="F234" s="7">
        <f t="shared" si="28"/>
        <v>0.18202351749933204</v>
      </c>
      <c r="G234" s="1">
        <f t="shared" si="29"/>
        <v>1515.9912698408498</v>
      </c>
      <c r="H234" s="2">
        <f t="shared" si="30"/>
        <v>28803.834126976144</v>
      </c>
      <c r="I234" s="1">
        <f t="shared" si="31"/>
        <v>14861.137057088872</v>
      </c>
      <c r="J234" s="2">
        <f t="shared" si="32"/>
        <v>282361.60408468859</v>
      </c>
    </row>
    <row r="235" spans="1:10" x14ac:dyDescent="0.35">
      <c r="A235" s="3">
        <v>229</v>
      </c>
      <c r="B235" s="8">
        <f t="shared" si="27"/>
        <v>52263</v>
      </c>
      <c r="C235" s="1">
        <f t="shared" si="33"/>
        <v>7716.2158011688634</v>
      </c>
      <c r="D235" s="1">
        <f t="shared" si="34"/>
        <v>82256.379783848446</v>
      </c>
      <c r="E235" s="1">
        <f t="shared" si="35"/>
        <v>946572.39370533347</v>
      </c>
      <c r="F235" s="7">
        <f t="shared" si="28"/>
        <v>0.18066850372142138</v>
      </c>
      <c r="G235" s="1">
        <f t="shared" si="29"/>
        <v>1394.0771631887671</v>
      </c>
      <c r="H235" s="2">
        <f t="shared" si="30"/>
        <v>26603.639197518973</v>
      </c>
      <c r="I235" s="1">
        <f t="shared" si="31"/>
        <v>14861.137057088872</v>
      </c>
      <c r="J235" s="2">
        <f t="shared" si="32"/>
        <v>283600.03217277932</v>
      </c>
    </row>
    <row r="236" spans="1:10" x14ac:dyDescent="0.35">
      <c r="A236" s="3">
        <v>230</v>
      </c>
      <c r="B236" s="8">
        <f t="shared" si="27"/>
        <v>52291</v>
      </c>
      <c r="C236" s="1">
        <f t="shared" si="33"/>
        <v>7099.2929527900005</v>
      </c>
      <c r="D236" s="1">
        <f t="shared" si="34"/>
        <v>82873.302632227307</v>
      </c>
      <c r="E236" s="1">
        <f t="shared" si="35"/>
        <v>863699.09107310616</v>
      </c>
      <c r="F236" s="7">
        <f t="shared" si="28"/>
        <v>0.17932357689471101</v>
      </c>
      <c r="G236" s="1">
        <f t="shared" si="29"/>
        <v>1273.0706057177176</v>
      </c>
      <c r="H236" s="2">
        <f t="shared" si="30"/>
        <v>24400.519942922921</v>
      </c>
      <c r="I236" s="1">
        <f t="shared" si="31"/>
        <v>14861.13705708887</v>
      </c>
      <c r="J236" s="2">
        <f t="shared" si="32"/>
        <v>284838.46026087005</v>
      </c>
    </row>
    <row r="237" spans="1:10" x14ac:dyDescent="0.35">
      <c r="A237" s="3">
        <v>231</v>
      </c>
      <c r="B237" s="8">
        <f t="shared" si="27"/>
        <v>52322</v>
      </c>
      <c r="C237" s="1">
        <f t="shared" si="33"/>
        <v>6477.7431830482956</v>
      </c>
      <c r="D237" s="1">
        <f t="shared" si="34"/>
        <v>83494.852401969008</v>
      </c>
      <c r="E237" s="1">
        <f t="shared" si="35"/>
        <v>780204.23867113714</v>
      </c>
      <c r="F237" s="7">
        <f t="shared" si="28"/>
        <v>0.17798866193023427</v>
      </c>
      <c r="G237" s="1">
        <f t="shared" si="29"/>
        <v>1152.9648414784626</v>
      </c>
      <c r="H237" s="2">
        <f t="shared" si="30"/>
        <v>22194.573198460406</v>
      </c>
      <c r="I237" s="1">
        <f t="shared" si="31"/>
        <v>14861.13705708887</v>
      </c>
      <c r="J237" s="2">
        <f t="shared" si="32"/>
        <v>286076.88834896073</v>
      </c>
    </row>
    <row r="238" spans="1:10" x14ac:dyDescent="0.35">
      <c r="A238" s="3">
        <v>232</v>
      </c>
      <c r="B238" s="8">
        <f t="shared" si="27"/>
        <v>52352</v>
      </c>
      <c r="C238" s="1">
        <f t="shared" si="33"/>
        <v>5851.5317900335285</v>
      </c>
      <c r="D238" s="1">
        <f t="shared" si="34"/>
        <v>84121.063794983784</v>
      </c>
      <c r="E238" s="1">
        <f t="shared" si="35"/>
        <v>696083.17487615335</v>
      </c>
      <c r="F238" s="7">
        <f t="shared" si="28"/>
        <v>0.17666368429799925</v>
      </c>
      <c r="G238" s="1">
        <f t="shared" si="29"/>
        <v>1033.7531648141896</v>
      </c>
      <c r="H238" s="2">
        <f t="shared" si="30"/>
        <v>19985.894519740999</v>
      </c>
      <c r="I238" s="1">
        <f t="shared" si="31"/>
        <v>14861.13705708887</v>
      </c>
      <c r="J238" s="2">
        <f t="shared" si="32"/>
        <v>287315.31643705146</v>
      </c>
    </row>
    <row r="239" spans="1:10" x14ac:dyDescent="0.35">
      <c r="A239" s="3">
        <v>233</v>
      </c>
      <c r="B239" s="8">
        <f t="shared" si="27"/>
        <v>52383</v>
      </c>
      <c r="C239" s="1">
        <f t="shared" si="33"/>
        <v>5220.6238115711503</v>
      </c>
      <c r="D239" s="1">
        <f t="shared" si="34"/>
        <v>84751.971773446159</v>
      </c>
      <c r="E239" s="1">
        <f t="shared" si="35"/>
        <v>611331.20310270716</v>
      </c>
      <c r="F239" s="7">
        <f t="shared" si="28"/>
        <v>0.17534857002282803</v>
      </c>
      <c r="G239" s="1">
        <f t="shared" si="29"/>
        <v>915.4289199861272</v>
      </c>
      <c r="H239" s="2">
        <f t="shared" si="30"/>
        <v>17774.578196397306</v>
      </c>
      <c r="I239" s="1">
        <f t="shared" si="31"/>
        <v>14861.137057088868</v>
      </c>
      <c r="J239" s="2">
        <f t="shared" si="32"/>
        <v>288553.74452514219</v>
      </c>
    </row>
    <row r="240" spans="1:10" x14ac:dyDescent="0.35">
      <c r="A240" s="3">
        <v>234</v>
      </c>
      <c r="B240" s="8">
        <f t="shared" si="27"/>
        <v>52413</v>
      </c>
      <c r="C240" s="1">
        <f t="shared" si="33"/>
        <v>4584.9840232703036</v>
      </c>
      <c r="D240" s="1">
        <f t="shared" si="34"/>
        <v>85387.611561747006</v>
      </c>
      <c r="E240" s="1">
        <f t="shared" si="35"/>
        <v>525943.59154096013</v>
      </c>
      <c r="F240" s="7">
        <f t="shared" si="28"/>
        <v>0.17404324568022631</v>
      </c>
      <c r="G240" s="1">
        <f t="shared" si="29"/>
        <v>797.98550080194593</v>
      </c>
      <c r="H240" s="2">
        <f t="shared" si="30"/>
        <v>15560.717265637946</v>
      </c>
      <c r="I240" s="1">
        <f t="shared" si="31"/>
        <v>14861.137057088867</v>
      </c>
      <c r="J240" s="2">
        <f t="shared" si="32"/>
        <v>289792.17261323292</v>
      </c>
    </row>
    <row r="241" spans="1:10" x14ac:dyDescent="0.35">
      <c r="A241" s="3">
        <v>235</v>
      </c>
      <c r="B241" s="8">
        <f t="shared" si="27"/>
        <v>52444</v>
      </c>
      <c r="C241" s="1">
        <f t="shared" si="33"/>
        <v>3944.576936557201</v>
      </c>
      <c r="D241" s="1">
        <f t="shared" si="34"/>
        <v>86028.0186484601</v>
      </c>
      <c r="E241" s="1">
        <f t="shared" si="35"/>
        <v>439915.57289250003</v>
      </c>
      <c r="F241" s="7">
        <f t="shared" si="28"/>
        <v>0.17274763839228416</v>
      </c>
      <c r="G241" s="1">
        <f t="shared" si="29"/>
        <v>681.41635024692732</v>
      </c>
      <c r="H241" s="2">
        <f t="shared" si="30"/>
        <v>13344.403525668993</v>
      </c>
      <c r="I241" s="1">
        <f t="shared" si="31"/>
        <v>14861.137057088863</v>
      </c>
      <c r="J241" s="2">
        <f t="shared" si="32"/>
        <v>291030.60070132354</v>
      </c>
    </row>
    <row r="242" spans="1:10" x14ac:dyDescent="0.35">
      <c r="A242" s="3">
        <v>236</v>
      </c>
      <c r="B242" s="8">
        <f t="shared" si="27"/>
        <v>52475</v>
      </c>
      <c r="C242" s="1">
        <f t="shared" si="33"/>
        <v>3299.3667966937501</v>
      </c>
      <c r="D242" s="1">
        <f t="shared" si="34"/>
        <v>86673.228788323555</v>
      </c>
      <c r="E242" s="1">
        <f t="shared" si="35"/>
        <v>353242.3441041765</v>
      </c>
      <c r="F242" s="7">
        <f t="shared" si="28"/>
        <v>0.17146167582360708</v>
      </c>
      <c r="G242" s="1">
        <f t="shared" si="29"/>
        <v>565.71496011787667</v>
      </c>
      <c r="H242" s="2">
        <f t="shared" si="30"/>
        <v>11125.727548984909</v>
      </c>
      <c r="I242" s="1">
        <f t="shared" si="31"/>
        <v>14861.137057088861</v>
      </c>
      <c r="J242" s="2">
        <f t="shared" si="32"/>
        <v>292269.02878941427</v>
      </c>
    </row>
    <row r="243" spans="1:10" x14ac:dyDescent="0.35">
      <c r="A243" s="3">
        <v>237</v>
      </c>
      <c r="B243" s="8">
        <f t="shared" si="27"/>
        <v>52505</v>
      </c>
      <c r="C243" s="1">
        <f t="shared" si="33"/>
        <v>2649.3175807813236</v>
      </c>
      <c r="D243" s="1">
        <f t="shared" si="34"/>
        <v>87323.278004235981</v>
      </c>
      <c r="E243" s="1">
        <f t="shared" si="35"/>
        <v>265919.06609994051</v>
      </c>
      <c r="F243" s="7">
        <f t="shared" si="28"/>
        <v>0.17018528617727749</v>
      </c>
      <c r="G243" s="1">
        <f t="shared" si="29"/>
        <v>450.87487065976205</v>
      </c>
      <c r="H243" s="2">
        <f t="shared" si="30"/>
        <v>8904.7786955303</v>
      </c>
      <c r="I243" s="1">
        <f t="shared" si="31"/>
        <v>14861.137057088861</v>
      </c>
      <c r="J243" s="2">
        <f t="shared" si="32"/>
        <v>293507.456877505</v>
      </c>
    </row>
    <row r="244" spans="1:10" x14ac:dyDescent="0.35">
      <c r="A244" s="3">
        <v>238</v>
      </c>
      <c r="B244" s="8">
        <f t="shared" si="27"/>
        <v>52536</v>
      </c>
      <c r="C244" s="1">
        <f t="shared" si="33"/>
        <v>1994.3929957495538</v>
      </c>
      <c r="D244" s="1">
        <f t="shared" si="34"/>
        <v>87978.202589267748</v>
      </c>
      <c r="E244" s="1">
        <f t="shared" si="35"/>
        <v>177940.86351067276</v>
      </c>
      <c r="F244" s="7">
        <f t="shared" si="28"/>
        <v>0.16891839819084611</v>
      </c>
      <c r="G244" s="1">
        <f t="shared" si="29"/>
        <v>336.8896702050576</v>
      </c>
      <c r="H244" s="2">
        <f t="shared" si="30"/>
        <v>6681.6451257336421</v>
      </c>
      <c r="I244" s="1">
        <f t="shared" si="31"/>
        <v>14861.137057088858</v>
      </c>
      <c r="J244" s="2">
        <f t="shared" si="32"/>
        <v>294745.88496559567</v>
      </c>
    </row>
    <row r="245" spans="1:10" x14ac:dyDescent="0.35">
      <c r="A245" s="3">
        <v>239</v>
      </c>
      <c r="B245" s="8">
        <f t="shared" si="27"/>
        <v>52566</v>
      </c>
      <c r="C245" s="1">
        <f t="shared" si="33"/>
        <v>1334.5564763300456</v>
      </c>
      <c r="D245" s="1">
        <f t="shared" si="34"/>
        <v>88638.039108687255</v>
      </c>
      <c r="E245" s="1">
        <f t="shared" si="35"/>
        <v>89302.824401985505</v>
      </c>
      <c r="F245" s="7">
        <f t="shared" si="28"/>
        <v>0.16766094113235344</v>
      </c>
      <c r="G245" s="1">
        <f t="shared" si="29"/>
        <v>223.75299481577281</v>
      </c>
      <c r="H245" s="2">
        <f t="shared" si="30"/>
        <v>4456.4138134141422</v>
      </c>
      <c r="I245" s="1">
        <f t="shared" si="31"/>
        <v>14861.137057088856</v>
      </c>
      <c r="J245" s="2">
        <f t="shared" si="32"/>
        <v>295984.3130536864</v>
      </c>
    </row>
    <row r="246" spans="1:10" x14ac:dyDescent="0.35">
      <c r="A246" s="3">
        <v>240</v>
      </c>
      <c r="B246" s="8">
        <f t="shared" si="27"/>
        <v>52597</v>
      </c>
      <c r="C246" s="1">
        <f t="shared" si="33"/>
        <v>669.77118301489122</v>
      </c>
      <c r="D246" s="1">
        <f t="shared" si="34"/>
        <v>89302.824402002414</v>
      </c>
      <c r="E246" s="1">
        <f t="shared" si="35"/>
        <v>-1.6909325495362282E-8</v>
      </c>
      <c r="F246" s="7">
        <f t="shared" si="28"/>
        <v>0.1664128447963806</v>
      </c>
      <c r="G246" s="1">
        <f t="shared" si="29"/>
        <v>111.45852792814532</v>
      </c>
      <c r="H246" s="2">
        <f t="shared" si="30"/>
        <v>2229.1705585629061</v>
      </c>
      <c r="I246" s="1">
        <f t="shared" si="31"/>
        <v>14861.137057088858</v>
      </c>
      <c r="J246" s="2">
        <f t="shared" si="32"/>
        <v>297222.74114177714</v>
      </c>
    </row>
    <row r="247" spans="1:10" ht="14" thickBot="1" x14ac:dyDescent="0.4">
      <c r="G247" s="6">
        <f>SUM(G7:G246)</f>
        <v>6433327.1062985677</v>
      </c>
      <c r="H247" s="4">
        <f>SUM(H7:H246)</f>
        <v>36202182.576813109</v>
      </c>
      <c r="I247" s="5">
        <f>SUM(I7:I246)</f>
        <v>3566672.8937013447</v>
      </c>
      <c r="J247" s="4">
        <f>SUM(J7:J246)</f>
        <v>35815340.307584383</v>
      </c>
    </row>
    <row r="248" spans="1:10" ht="14" thickTop="1" x14ac:dyDescent="0.35"/>
    <row r="249" spans="1:10" x14ac:dyDescent="0.35">
      <c r="H249" s="3" t="s">
        <v>14</v>
      </c>
      <c r="J249" s="3" t="s">
        <v>14</v>
      </c>
    </row>
    <row r="250" spans="1:10" x14ac:dyDescent="0.35">
      <c r="H250" s="2">
        <f>H247/G247</f>
        <v>5.6272877126625902</v>
      </c>
      <c r="J250" s="2">
        <f>J247/I247</f>
        <v>10.04166666666668</v>
      </c>
    </row>
    <row r="251" spans="1:10" x14ac:dyDescent="0.35">
      <c r="H251" s="3" t="s">
        <v>15</v>
      </c>
      <c r="J251" s="3" t="s">
        <v>15</v>
      </c>
    </row>
    <row r="252" spans="1:10" x14ac:dyDescent="0.35">
      <c r="H252" s="2">
        <f>-1/G247*(H327-H326)/($G327-$G326)</f>
        <v>-7.0846785906638505</v>
      </c>
      <c r="I252" s="2"/>
      <c r="J252" s="2">
        <f>-1/I247*(I327-I326)/($G327-$G326)</f>
        <v>12.778871562705802</v>
      </c>
    </row>
    <row r="254" spans="1:10" x14ac:dyDescent="0.35">
      <c r="G254" s="17"/>
      <c r="H254" s="18" t="s">
        <v>16</v>
      </c>
      <c r="I254" s="18" t="s">
        <v>17</v>
      </c>
    </row>
    <row r="255" spans="1:10" x14ac:dyDescent="0.35">
      <c r="G255" s="17"/>
      <c r="H255" s="21">
        <f>G247</f>
        <v>6433327.1062985677</v>
      </c>
      <c r="I255" s="22">
        <f>I247</f>
        <v>3566672.8937013447</v>
      </c>
    </row>
    <row r="256" spans="1:10" x14ac:dyDescent="0.35">
      <c r="G256" s="19">
        <v>0.02</v>
      </c>
      <c r="H256" s="20">
        <f t="dataTable" ref="H256:I417" dt2D="0" dtr="0" r1="B2"/>
        <v>1872346.0488357868</v>
      </c>
      <c r="I256" s="20">
        <v>8127653.9511641068</v>
      </c>
    </row>
    <row r="257" spans="7:9" x14ac:dyDescent="0.35">
      <c r="G257" s="19">
        <v>2.1000000000000001E-2</v>
      </c>
      <c r="H257" s="20">
        <v>1958882.2296074654</v>
      </c>
      <c r="I257" s="20">
        <v>8041117.7703925911</v>
      </c>
    </row>
    <row r="258" spans="7:9" x14ac:dyDescent="0.35">
      <c r="G258" s="19">
        <v>2.1999999999999999E-2</v>
      </c>
      <c r="H258" s="20">
        <v>2044751.8915314621</v>
      </c>
      <c r="I258" s="20">
        <v>7955248.1084684767</v>
      </c>
    </row>
    <row r="259" spans="7:9" x14ac:dyDescent="0.35">
      <c r="G259" s="19">
        <v>2.3E-2</v>
      </c>
      <c r="H259" s="20">
        <v>2129956.3957926016</v>
      </c>
      <c r="I259" s="20">
        <v>7870043.6042075064</v>
      </c>
    </row>
    <row r="260" spans="7:9" x14ac:dyDescent="0.35">
      <c r="G260" s="19">
        <v>2.4E-2</v>
      </c>
      <c r="H260" s="20">
        <v>2214497.152041777</v>
      </c>
      <c r="I260" s="20">
        <v>7785502.8479582667</v>
      </c>
    </row>
    <row r="261" spans="7:9" x14ac:dyDescent="0.35">
      <c r="G261" s="19">
        <v>2.5000000000000001E-2</v>
      </c>
      <c r="H261" s="20">
        <v>2298375.6180222393</v>
      </c>
      <c r="I261" s="20">
        <v>7701624.3819776168</v>
      </c>
    </row>
    <row r="262" spans="7:9" x14ac:dyDescent="0.35">
      <c r="G262" s="19">
        <v>2.5999999999999999E-2</v>
      </c>
      <c r="H262" s="20">
        <v>2381593.2991832681</v>
      </c>
      <c r="I262" s="20">
        <v>7618406.7008167403</v>
      </c>
    </row>
    <row r="263" spans="7:9" x14ac:dyDescent="0.35">
      <c r="G263" s="19">
        <v>2.7E-2</v>
      </c>
      <c r="H263" s="20">
        <v>2464151.7482814426</v>
      </c>
      <c r="I263" s="20">
        <v>7535848.2517183712</v>
      </c>
    </row>
    <row r="264" spans="7:9" x14ac:dyDescent="0.35">
      <c r="G264" s="19">
        <v>2.8000000000000001E-2</v>
      </c>
      <c r="H264" s="20">
        <v>2546052.5649705804</v>
      </c>
      <c r="I264" s="20">
        <v>7453947.4350294461</v>
      </c>
    </row>
    <row r="265" spans="7:9" x14ac:dyDescent="0.35">
      <c r="G265" s="19">
        <v>2.9000000000000001E-2</v>
      </c>
      <c r="H265" s="20">
        <v>2627297.3953791102</v>
      </c>
      <c r="I265" s="20">
        <v>7372702.6046207547</v>
      </c>
    </row>
    <row r="266" spans="7:9" x14ac:dyDescent="0.35">
      <c r="G266" s="19">
        <v>0.03</v>
      </c>
      <c r="H266" s="20">
        <v>2707887.9316769294</v>
      </c>
      <c r="I266" s="20">
        <v>7292112.0683231307</v>
      </c>
    </row>
    <row r="267" spans="7:9" x14ac:dyDescent="0.35">
      <c r="G267" s="19">
        <v>3.1E-2</v>
      </c>
      <c r="H267" s="20">
        <v>2787825.911629871</v>
      </c>
      <c r="I267" s="20">
        <v>7212174.0883701518</v>
      </c>
    </row>
    <row r="268" spans="7:9" x14ac:dyDescent="0.35">
      <c r="G268" s="19">
        <v>3.2000000000000001E-2</v>
      </c>
      <c r="H268" s="20">
        <v>2867113.1181441378</v>
      </c>
      <c r="I268" s="20">
        <v>7132886.8818559572</v>
      </c>
    </row>
    <row r="269" spans="7:9" x14ac:dyDescent="0.35">
      <c r="G269" s="19">
        <v>3.3000000000000002E-2</v>
      </c>
      <c r="H269" s="20">
        <v>2945751.3787991698</v>
      </c>
      <c r="I269" s="20">
        <v>7054248.6212007869</v>
      </c>
    </row>
    <row r="270" spans="7:9" x14ac:dyDescent="0.35">
      <c r="G270" s="19">
        <v>3.4000000000000002E-2</v>
      </c>
      <c r="H270" s="20">
        <v>3023742.5653705127</v>
      </c>
      <c r="I270" s="20">
        <v>6976257.4346295428</v>
      </c>
    </row>
    <row r="271" spans="7:9" x14ac:dyDescent="0.35">
      <c r="G271" s="19">
        <v>3.5000000000000003E-2</v>
      </c>
      <c r="H271" s="20">
        <v>3101088.5933418437</v>
      </c>
      <c r="I271" s="20">
        <v>6898911.4066581307</v>
      </c>
    </row>
    <row r="272" spans="7:9" x14ac:dyDescent="0.35">
      <c r="G272" s="19">
        <v>3.5999999999999997E-2</v>
      </c>
      <c r="H272" s="20">
        <v>3177791.4214074402</v>
      </c>
      <c r="I272" s="20">
        <v>6822208.5785927307</v>
      </c>
    </row>
    <row r="273" spans="7:9" x14ac:dyDescent="0.35">
      <c r="G273" s="19">
        <v>3.6999999999999998E-2</v>
      </c>
      <c r="H273" s="20">
        <v>3253853.050964341</v>
      </c>
      <c r="I273" s="20">
        <v>6746146.9490357218</v>
      </c>
    </row>
    <row r="274" spans="7:9" x14ac:dyDescent="0.35">
      <c r="G274" s="19">
        <v>3.7999999999999999E-2</v>
      </c>
      <c r="H274" s="20">
        <v>3329275.5255954531</v>
      </c>
      <c r="I274" s="20">
        <v>6670724.4744044542</v>
      </c>
    </row>
    <row r="275" spans="7:9" x14ac:dyDescent="0.35">
      <c r="G275" s="19">
        <v>3.9E-2</v>
      </c>
      <c r="H275" s="20">
        <v>3404060.9305431116</v>
      </c>
      <c r="I275" s="20">
        <v>6595939.0694569042</v>
      </c>
    </row>
    <row r="276" spans="7:9" x14ac:dyDescent="0.35">
      <c r="G276" s="19">
        <v>0.04</v>
      </c>
      <c r="H276" s="20">
        <v>3478211.3921733499</v>
      </c>
      <c r="I276" s="20">
        <v>6521788.6078265356</v>
      </c>
    </row>
    <row r="277" spans="7:9" x14ac:dyDescent="0.35">
      <c r="G277" s="19">
        <v>4.1000000000000002E-2</v>
      </c>
      <c r="H277" s="20">
        <v>3551729.077432205</v>
      </c>
      <c r="I277" s="20">
        <v>6448270.9225678071</v>
      </c>
    </row>
    <row r="278" spans="7:9" x14ac:dyDescent="0.35">
      <c r="G278" s="19">
        <v>4.2000000000000003E-2</v>
      </c>
      <c r="H278" s="20">
        <v>3624616.1932925126</v>
      </c>
      <c r="I278" s="20">
        <v>6375383.8067074316</v>
      </c>
    </row>
    <row r="279" spans="7:9" x14ac:dyDescent="0.35">
      <c r="G279" s="19">
        <v>4.2999999999999997E-2</v>
      </c>
      <c r="H279" s="20">
        <v>3696874.9861935871</v>
      </c>
      <c r="I279" s="20">
        <v>6303125.0138065144</v>
      </c>
    </row>
    <row r="280" spans="7:9" x14ac:dyDescent="0.35">
      <c r="G280" s="19">
        <v>4.3999999999999997E-2</v>
      </c>
      <c r="H280" s="20">
        <v>3768507.7414719728</v>
      </c>
      <c r="I280" s="20">
        <v>6231492.258528023</v>
      </c>
    </row>
    <row r="281" spans="7:9" x14ac:dyDescent="0.35">
      <c r="G281" s="19">
        <v>4.4999999999999998E-2</v>
      </c>
      <c r="H281" s="20">
        <v>3839516.7827854794</v>
      </c>
      <c r="I281" s="20">
        <v>6160483.2172145676</v>
      </c>
    </row>
    <row r="282" spans="7:9" x14ac:dyDescent="0.35">
      <c r="G282" s="19">
        <v>4.5999999999999999E-2</v>
      </c>
      <c r="H282" s="20">
        <v>3909904.4715289678</v>
      </c>
      <c r="I282" s="20">
        <v>6090095.5284710778</v>
      </c>
    </row>
    <row r="283" spans="7:9" x14ac:dyDescent="0.35">
      <c r="G283" s="19">
        <v>4.7E-2</v>
      </c>
      <c r="H283" s="20">
        <v>3979673.2062439136</v>
      </c>
      <c r="I283" s="20">
        <v>6020326.7937561274</v>
      </c>
    </row>
    <row r="284" spans="7:9" x14ac:dyDescent="0.35">
      <c r="G284" s="19">
        <v>4.8000000000000001E-2</v>
      </c>
      <c r="H284" s="20">
        <v>4048825.4220204679</v>
      </c>
      <c r="I284" s="20">
        <v>5951174.5779795088</v>
      </c>
    </row>
    <row r="285" spans="7:9" x14ac:dyDescent="0.35">
      <c r="G285" s="19">
        <v>4.9000000000000002E-2</v>
      </c>
      <c r="H285" s="20">
        <v>4117363.5898935637</v>
      </c>
      <c r="I285" s="20">
        <v>5882636.4101063004</v>
      </c>
    </row>
    <row r="286" spans="7:9" x14ac:dyDescent="0.35">
      <c r="G286" s="19">
        <v>0.05</v>
      </c>
      <c r="H286" s="20">
        <v>4185290.2162325843</v>
      </c>
      <c r="I286" s="20">
        <v>5814709.7837673929</v>
      </c>
    </row>
    <row r="287" spans="7:9" x14ac:dyDescent="0.35">
      <c r="G287" s="19">
        <v>5.0999999999999997E-2</v>
      </c>
      <c r="H287" s="20">
        <v>4252607.8421248365</v>
      </c>
      <c r="I287" s="20">
        <v>5747392.1578750974</v>
      </c>
    </row>
    <row r="288" spans="7:9" x14ac:dyDescent="0.35">
      <c r="G288" s="19">
        <v>5.1999999999999998E-2</v>
      </c>
      <c r="H288" s="20">
        <v>4319319.042754109</v>
      </c>
      <c r="I288" s="20">
        <v>5680680.9572458398</v>
      </c>
    </row>
    <row r="289" spans="7:9" x14ac:dyDescent="0.35">
      <c r="G289" s="19">
        <v>5.2999999999999999E-2</v>
      </c>
      <c r="H289" s="20">
        <v>4385426.4267731244</v>
      </c>
      <c r="I289" s="20">
        <v>5614573.573226816</v>
      </c>
    </row>
    <row r="290" spans="7:9" x14ac:dyDescent="0.35">
      <c r="G290" s="19">
        <v>5.3999999999999999E-2</v>
      </c>
      <c r="H290" s="20">
        <v>4450932.6356716147</v>
      </c>
      <c r="I290" s="20">
        <v>5549067.3643285288</v>
      </c>
    </row>
    <row r="291" spans="7:9" x14ac:dyDescent="0.35">
      <c r="G291" s="19">
        <v>5.5E-2</v>
      </c>
      <c r="H291" s="20">
        <v>4515840.3431388726</v>
      </c>
      <c r="I291" s="20">
        <v>5484159.6568611059</v>
      </c>
    </row>
    <row r="292" spans="7:9" x14ac:dyDescent="0.35">
      <c r="G292" s="19">
        <v>5.6000000000000001E-2</v>
      </c>
      <c r="H292" s="20">
        <v>4580152.2544229822</v>
      </c>
      <c r="I292" s="20">
        <v>5419847.7455770755</v>
      </c>
    </row>
    <row r="293" spans="7:9" x14ac:dyDescent="0.35">
      <c r="G293" s="19">
        <v>5.7000000000000002E-2</v>
      </c>
      <c r="H293" s="20">
        <v>4643871.1056844806</v>
      </c>
      <c r="I293" s="20">
        <v>5356128.8943154216</v>
      </c>
    </row>
    <row r="294" spans="7:9" x14ac:dyDescent="0.35">
      <c r="G294" s="19">
        <v>5.8000000000000003E-2</v>
      </c>
      <c r="H294" s="20">
        <v>4706999.6633475814</v>
      </c>
      <c r="I294" s="20">
        <v>5293000.3366525108</v>
      </c>
    </row>
    <row r="295" spans="7:9" x14ac:dyDescent="0.35">
      <c r="G295" s="19">
        <v>5.8999999999999997E-2</v>
      </c>
      <c r="H295" s="20">
        <v>4769540.723446385</v>
      </c>
      <c r="I295" s="20">
        <v>5230459.2765536159</v>
      </c>
    </row>
    <row r="296" spans="7:9" x14ac:dyDescent="0.35">
      <c r="G296" s="19">
        <v>0.06</v>
      </c>
      <c r="H296" s="20">
        <v>4831497.1109692492</v>
      </c>
      <c r="I296" s="20">
        <v>5168502.8890308822</v>
      </c>
    </row>
    <row r="297" spans="7:9" x14ac:dyDescent="0.35">
      <c r="G297" s="19">
        <v>6.0999999999999999E-2</v>
      </c>
      <c r="H297" s="20">
        <v>4892871.6791987363</v>
      </c>
      <c r="I297" s="20">
        <v>5107128.3208012693</v>
      </c>
    </row>
    <row r="298" spans="7:9" x14ac:dyDescent="0.35">
      <c r="G298" s="19">
        <v>6.2E-2</v>
      </c>
      <c r="H298" s="20">
        <v>4953667.3090502005</v>
      </c>
      <c r="I298" s="20">
        <v>5046332.6909496933</v>
      </c>
    </row>
    <row r="299" spans="7:9" x14ac:dyDescent="0.35">
      <c r="G299" s="19">
        <v>6.3E-2</v>
      </c>
      <c r="H299" s="20">
        <v>5013886.90840693</v>
      </c>
      <c r="I299" s="20">
        <v>4986113.091593137</v>
      </c>
    </row>
    <row r="300" spans="7:9" x14ac:dyDescent="0.35">
      <c r="G300" s="19">
        <v>6.4000000000000001E-2</v>
      </c>
      <c r="H300" s="20">
        <v>5073533.411453261</v>
      </c>
      <c r="I300" s="20">
        <v>4926466.5885466384</v>
      </c>
    </row>
    <row r="301" spans="7:9" x14ac:dyDescent="0.35">
      <c r="G301" s="19">
        <v>6.5000000000000002E-2</v>
      </c>
      <c r="H301" s="20">
        <v>5132609.7780068154</v>
      </c>
      <c r="I301" s="20">
        <v>4867390.2219932294</v>
      </c>
    </row>
    <row r="302" spans="7:9" x14ac:dyDescent="0.35">
      <c r="G302" s="19">
        <v>6.6000000000000003E-2</v>
      </c>
      <c r="H302" s="20">
        <v>5191118.9928475032</v>
      </c>
      <c r="I302" s="20">
        <v>4808881.0071524289</v>
      </c>
    </row>
    <row r="303" spans="7:9" x14ac:dyDescent="0.35">
      <c r="G303" s="19">
        <v>6.7000000000000004E-2</v>
      </c>
      <c r="H303" s="20">
        <v>5249064.0650470061</v>
      </c>
      <c r="I303" s="20">
        <v>4750935.934953019</v>
      </c>
    </row>
    <row r="304" spans="7:9" x14ac:dyDescent="0.35">
      <c r="G304" s="19">
        <v>6.8000000000000005E-2</v>
      </c>
      <c r="H304" s="20">
        <v>5306448.0272956248</v>
      </c>
      <c r="I304" s="20">
        <v>4693551.9727043863</v>
      </c>
    </row>
    <row r="305" spans="7:9" x14ac:dyDescent="0.35">
      <c r="G305" s="19">
        <v>6.9000000000000006E-2</v>
      </c>
      <c r="H305" s="20">
        <v>5363273.9352297215</v>
      </c>
      <c r="I305" s="20">
        <v>4636726.0647703568</v>
      </c>
    </row>
    <row r="306" spans="7:9" x14ac:dyDescent="0.35">
      <c r="G306" s="19">
        <v>7.0000000000000007E-2</v>
      </c>
      <c r="H306" s="20">
        <v>5419544.8667575885</v>
      </c>
      <c r="I306" s="20">
        <v>4580455.1332423883</v>
      </c>
    </row>
    <row r="307" spans="7:9" x14ac:dyDescent="0.35">
      <c r="G307" s="19">
        <v>7.0999999999999994E-2</v>
      </c>
      <c r="H307" s="20">
        <v>5475263.9213861413</v>
      </c>
      <c r="I307" s="20">
        <v>4524736.0786139974</v>
      </c>
    </row>
    <row r="308" spans="7:9" x14ac:dyDescent="0.35">
      <c r="G308" s="19">
        <v>7.1999999999999995E-2</v>
      </c>
      <c r="H308" s="20">
        <v>5530434.2195464671</v>
      </c>
      <c r="I308" s="20">
        <v>4469565.7804535339</v>
      </c>
    </row>
    <row r="309" spans="7:9" x14ac:dyDescent="0.35">
      <c r="G309" s="19">
        <v>7.2999999999999995E-2</v>
      </c>
      <c r="H309" s="20">
        <v>5585058.901921019</v>
      </c>
      <c r="I309" s="20">
        <v>4414941.0980788944</v>
      </c>
    </row>
    <row r="310" spans="7:9" x14ac:dyDescent="0.35">
      <c r="G310" s="19">
        <v>7.3999999999999996E-2</v>
      </c>
      <c r="H310" s="20">
        <v>5639141.1287704241</v>
      </c>
      <c r="I310" s="20">
        <v>4360858.8712295638</v>
      </c>
    </row>
    <row r="311" spans="7:9" x14ac:dyDescent="0.35">
      <c r="G311" s="19">
        <v>7.4999999999999997E-2</v>
      </c>
      <c r="H311" s="20">
        <v>5692684.0792612229</v>
      </c>
      <c r="I311" s="20">
        <v>4307315.9207387203</v>
      </c>
    </row>
    <row r="312" spans="7:9" x14ac:dyDescent="0.35">
      <c r="G312" s="19">
        <v>7.5999999999999998E-2</v>
      </c>
      <c r="H312" s="20">
        <v>5745690.9507954381</v>
      </c>
      <c r="I312" s="20">
        <v>4254309.0492046159</v>
      </c>
    </row>
    <row r="313" spans="7:9" x14ac:dyDescent="0.35">
      <c r="G313" s="19">
        <v>7.6999999999999999E-2</v>
      </c>
      <c r="H313" s="20">
        <v>5798164.958340303</v>
      </c>
      <c r="I313" s="20">
        <v>4201835.0416595805</v>
      </c>
    </row>
    <row r="314" spans="7:9" x14ac:dyDescent="0.35">
      <c r="G314" s="19">
        <v>7.8E-2</v>
      </c>
      <c r="H314" s="20">
        <v>5850109.3337611137</v>
      </c>
      <c r="I314" s="20">
        <v>4149890.6662389562</v>
      </c>
    </row>
    <row r="315" spans="7:9" x14ac:dyDescent="0.35">
      <c r="G315" s="19">
        <v>7.9000000000000001E-2</v>
      </c>
      <c r="H315" s="20">
        <v>5901527.3251538929</v>
      </c>
      <c r="I315" s="20">
        <v>4098472.6748460736</v>
      </c>
    </row>
    <row r="316" spans="7:9" x14ac:dyDescent="0.35">
      <c r="G316" s="19">
        <v>0.08</v>
      </c>
      <c r="H316" s="20">
        <v>5952422.1961823693</v>
      </c>
      <c r="I316" s="20">
        <v>4047577.8038176959</v>
      </c>
    </row>
    <row r="317" spans="7:9" x14ac:dyDescent="0.35">
      <c r="G317" s="19">
        <v>8.1000000000000003E-2</v>
      </c>
      <c r="H317" s="20">
        <v>6002797.2254152549</v>
      </c>
      <c r="I317" s="20">
        <v>3997202.7745847227</v>
      </c>
    </row>
    <row r="318" spans="7:9" x14ac:dyDescent="0.35">
      <c r="G318" s="19">
        <v>8.2000000000000003E-2</v>
      </c>
      <c r="H318" s="20">
        <v>6052655.7056676801</v>
      </c>
      <c r="I318" s="20">
        <v>3947344.2943324344</v>
      </c>
    </row>
    <row r="319" spans="7:9" x14ac:dyDescent="0.35">
      <c r="G319" s="19">
        <v>8.3000000000000004E-2</v>
      </c>
      <c r="H319" s="20">
        <v>6102000.9433438433</v>
      </c>
      <c r="I319" s="20">
        <v>3897999.0566562037</v>
      </c>
    </row>
    <row r="320" spans="7:9" x14ac:dyDescent="0.35">
      <c r="G320" s="19">
        <v>8.4000000000000005E-2</v>
      </c>
      <c r="H320" s="20">
        <v>6150836.257784198</v>
      </c>
      <c r="I320" s="20">
        <v>3849163.7422159091</v>
      </c>
    </row>
    <row r="321" spans="7:9" x14ac:dyDescent="0.35">
      <c r="G321" s="19">
        <v>8.5000000000000006E-2</v>
      </c>
      <c r="H321" s="20">
        <v>6199164.980614488</v>
      </c>
      <c r="I321" s="20">
        <v>3800835.0193854733</v>
      </c>
    </row>
    <row r="322" spans="7:9" x14ac:dyDescent="0.35">
      <c r="G322" s="19">
        <v>8.5999999999999993E-2</v>
      </c>
      <c r="H322" s="20">
        <v>6246990.4550992055</v>
      </c>
      <c r="I322" s="20">
        <v>3753009.5449007382</v>
      </c>
    </row>
    <row r="323" spans="7:9" x14ac:dyDescent="0.35">
      <c r="G323" s="19">
        <v>8.6999999999999994E-2</v>
      </c>
      <c r="H323" s="20">
        <v>6294316.0354979178</v>
      </c>
      <c r="I323" s="20">
        <v>3705683.964502058</v>
      </c>
    </row>
    <row r="324" spans="7:9" x14ac:dyDescent="0.35">
      <c r="G324" s="19">
        <v>8.7999999999999995E-2</v>
      </c>
      <c r="H324" s="20">
        <v>6341145.0864257086</v>
      </c>
      <c r="I324" s="20">
        <v>3658854.9135741936</v>
      </c>
    </row>
    <row r="325" spans="7:9" x14ac:dyDescent="0.35">
      <c r="G325" s="19">
        <v>8.8999999999999996E-2</v>
      </c>
      <c r="H325" s="20">
        <v>6387480.9822179833</v>
      </c>
      <c r="I325" s="20">
        <v>3612519.0177820502</v>
      </c>
    </row>
    <row r="326" spans="7:9" x14ac:dyDescent="0.35">
      <c r="G326" s="19">
        <v>0.09</v>
      </c>
      <c r="H326" s="20">
        <v>6433327.1062985677</v>
      </c>
      <c r="I326" s="20">
        <v>3566672.8937013447</v>
      </c>
    </row>
    <row r="327" spans="7:9" x14ac:dyDescent="0.35">
      <c r="G327" s="19">
        <v>9.01E-2</v>
      </c>
      <c r="H327" s="20">
        <v>6437884.9117802409</v>
      </c>
      <c r="I327" s="20">
        <v>3562115.0882198652</v>
      </c>
    </row>
    <row r="328" spans="7:9" x14ac:dyDescent="0.35">
      <c r="G328" s="19">
        <v>9.0999999999999998E-2</v>
      </c>
      <c r="H328" s="20">
        <v>6478686.8505535061</v>
      </c>
      <c r="I328" s="20">
        <v>3521313.1494465508</v>
      </c>
    </row>
    <row r="329" spans="7:9" x14ac:dyDescent="0.35">
      <c r="G329" s="19">
        <v>9.1999999999999998E-2</v>
      </c>
      <c r="H329" s="20">
        <v>6523563.6147078723</v>
      </c>
      <c r="I329" s="20">
        <v>3476436.3852920742</v>
      </c>
    </row>
    <row r="330" spans="7:9" x14ac:dyDescent="0.35">
      <c r="G330" s="19">
        <v>9.2999999999999999E-2</v>
      </c>
      <c r="H330" s="20">
        <v>6567960.8057090212</v>
      </c>
      <c r="I330" s="20">
        <v>3432039.1942910464</v>
      </c>
    </row>
    <row r="331" spans="7:9" x14ac:dyDescent="0.35">
      <c r="G331" s="19">
        <v>9.4E-2</v>
      </c>
      <c r="H331" s="20">
        <v>6611881.8371131606</v>
      </c>
      <c r="I331" s="20">
        <v>3388118.1628868296</v>
      </c>
    </row>
    <row r="332" spans="7:9" x14ac:dyDescent="0.35">
      <c r="G332" s="19">
        <v>9.5000000000000001E-2</v>
      </c>
      <c r="H332" s="20">
        <v>6655330.1284784954</v>
      </c>
      <c r="I332" s="20">
        <v>3344669.8715215945</v>
      </c>
    </row>
    <row r="333" spans="7:9" x14ac:dyDescent="0.35">
      <c r="G333" s="19">
        <v>9.6000000000000002E-2</v>
      </c>
      <c r="H333" s="20">
        <v>6698309.1047622012</v>
      </c>
      <c r="I333" s="20">
        <v>3301690.8952377685</v>
      </c>
    </row>
    <row r="334" spans="7:9" x14ac:dyDescent="0.35">
      <c r="G334" s="19">
        <v>9.7000000000000003E-2</v>
      </c>
      <c r="H334" s="20">
        <v>6740822.1957243402</v>
      </c>
      <c r="I334" s="20">
        <v>3259177.8042755821</v>
      </c>
    </row>
    <row r="335" spans="7:9" x14ac:dyDescent="0.35">
      <c r="G335" s="19">
        <v>9.8000000000000004E-2</v>
      </c>
      <c r="H335" s="20">
        <v>6782872.8353360323</v>
      </c>
      <c r="I335" s="20">
        <v>3217127.1646639374</v>
      </c>
    </row>
    <row r="336" spans="7:9" x14ac:dyDescent="0.35">
      <c r="G336" s="19">
        <v>9.9000000000000005E-2</v>
      </c>
      <c r="H336" s="20">
        <v>6824464.4611939359</v>
      </c>
      <c r="I336" s="20">
        <v>3175535.5388059728</v>
      </c>
    </row>
    <row r="337" spans="7:9" x14ac:dyDescent="0.35">
      <c r="G337" s="19">
        <v>0.1</v>
      </c>
      <c r="H337" s="20">
        <v>6865600.5139409909</v>
      </c>
      <c r="I337" s="20">
        <v>3134399.4860590287</v>
      </c>
    </row>
    <row r="338" spans="7:9" x14ac:dyDescent="0.35">
      <c r="G338" s="19">
        <v>0.10100000000000001</v>
      </c>
      <c r="H338" s="20">
        <v>6906284.4366919752</v>
      </c>
      <c r="I338" s="20">
        <v>3093715.5633079363</v>
      </c>
    </row>
    <row r="339" spans="7:9" x14ac:dyDescent="0.35">
      <c r="G339" s="19">
        <v>0.10199999999999999</v>
      </c>
      <c r="H339" s="20">
        <v>6946519.6744669927</v>
      </c>
      <c r="I339" s="20">
        <v>3053480.3255330301</v>
      </c>
    </row>
    <row r="340" spans="7:9" x14ac:dyDescent="0.35">
      <c r="G340" s="19">
        <v>0.10299999999999999</v>
      </c>
      <c r="H340" s="20">
        <v>6986309.6736291647</v>
      </c>
      <c r="I340" s="20">
        <v>3013690.3263708018</v>
      </c>
    </row>
    <row r="341" spans="7:9" x14ac:dyDescent="0.35">
      <c r="G341" s="19">
        <v>0.104</v>
      </c>
      <c r="H341" s="20">
        <v>7025657.8813307146</v>
      </c>
      <c r="I341" s="20">
        <v>2974342.1186693385</v>
      </c>
    </row>
    <row r="342" spans="7:9" x14ac:dyDescent="0.35">
      <c r="G342" s="19">
        <v>0.105</v>
      </c>
      <c r="H342" s="20">
        <v>7064567.7449636515</v>
      </c>
      <c r="I342" s="20">
        <v>2935432.2550362884</v>
      </c>
    </row>
    <row r="343" spans="7:9" x14ac:dyDescent="0.35">
      <c r="G343" s="19">
        <v>0.106</v>
      </c>
      <c r="H343" s="20">
        <v>7103042.7116191862</v>
      </c>
      <c r="I343" s="20">
        <v>2896957.2883808576</v>
      </c>
    </row>
    <row r="344" spans="7:9" x14ac:dyDescent="0.35">
      <c r="G344" s="19">
        <v>0.107</v>
      </c>
      <c r="H344" s="20">
        <v>7141086.2275515813</v>
      </c>
      <c r="I344" s="20">
        <v>2858913.7724484443</v>
      </c>
    </row>
    <row r="345" spans="7:9" x14ac:dyDescent="0.35">
      <c r="G345" s="19">
        <v>0.108</v>
      </c>
      <c r="H345" s="20">
        <v>7178701.737650861</v>
      </c>
      <c r="I345" s="20">
        <v>2821298.2623491935</v>
      </c>
    </row>
    <row r="346" spans="7:9" x14ac:dyDescent="0.35">
      <c r="G346" s="19">
        <v>0.109</v>
      </c>
      <c r="H346" s="20">
        <v>7215892.6849211464</v>
      </c>
      <c r="I346" s="20">
        <v>2784107.3150789212</v>
      </c>
    </row>
    <row r="347" spans="7:9" x14ac:dyDescent="0.35">
      <c r="G347" s="19">
        <v>0.11</v>
      </c>
      <c r="H347" s="20">
        <v>7252662.5099665783</v>
      </c>
      <c r="I347" s="20">
        <v>2747337.4900333388</v>
      </c>
    </row>
    <row r="348" spans="7:9" x14ac:dyDescent="0.35">
      <c r="G348" s="19">
        <v>0.111</v>
      </c>
      <c r="H348" s="20">
        <v>7289014.6504844725</v>
      </c>
      <c r="I348" s="20">
        <v>2710985.3495155289</v>
      </c>
    </row>
    <row r="349" spans="7:9" x14ac:dyDescent="0.35">
      <c r="G349" s="19">
        <v>0.112</v>
      </c>
      <c r="H349" s="20">
        <v>7324952.5407649409</v>
      </c>
      <c r="I349" s="20">
        <v>2675047.4592350111</v>
      </c>
    </row>
    <row r="350" spans="7:9" x14ac:dyDescent="0.35">
      <c r="G350" s="19">
        <v>0.113</v>
      </c>
      <c r="H350" s="20">
        <v>7360479.6111987624</v>
      </c>
      <c r="I350" s="20">
        <v>2639520.3888012143</v>
      </c>
    </row>
    <row r="351" spans="7:9" x14ac:dyDescent="0.35">
      <c r="G351" s="19">
        <v>0.114</v>
      </c>
      <c r="H351" s="20">
        <v>7395599.2877919096</v>
      </c>
      <c r="I351" s="20">
        <v>2604400.7122080671</v>
      </c>
    </row>
    <row r="352" spans="7:9" x14ac:dyDescent="0.35">
      <c r="G352" s="19">
        <v>0.115</v>
      </c>
      <c r="H352" s="20">
        <v>7430314.9916877188</v>
      </c>
      <c r="I352" s="20">
        <v>2569685.0083123036</v>
      </c>
    </row>
    <row r="353" spans="7:9" x14ac:dyDescent="0.35">
      <c r="G353" s="19">
        <v>0.11600000000000001</v>
      </c>
      <c r="H353" s="20">
        <v>7464630.1386965411</v>
      </c>
      <c r="I353" s="20">
        <v>2535369.8613034277</v>
      </c>
    </row>
    <row r="354" spans="7:9" x14ac:dyDescent="0.35">
      <c r="G354" s="19">
        <v>0.11700000000000001</v>
      </c>
      <c r="H354" s="20">
        <v>7498548.1388331149</v>
      </c>
      <c r="I354" s="20">
        <v>2501451.8611669135</v>
      </c>
    </row>
    <row r="355" spans="7:9" x14ac:dyDescent="0.35">
      <c r="G355" s="19">
        <v>0.11799999999999999</v>
      </c>
      <c r="H355" s="20">
        <v>7532072.3958609141</v>
      </c>
      <c r="I355" s="20">
        <v>2467927.6041390472</v>
      </c>
    </row>
    <row r="356" spans="7:9" x14ac:dyDescent="0.35">
      <c r="G356" s="19">
        <v>0.11899999999999999</v>
      </c>
      <c r="H356" s="20">
        <v>7565206.3068451406</v>
      </c>
      <c r="I356" s="20">
        <v>2434793.6931548645</v>
      </c>
    </row>
    <row r="357" spans="7:9" x14ac:dyDescent="0.35">
      <c r="G357" s="19">
        <v>0.12</v>
      </c>
      <c r="H357" s="20">
        <v>7597953.2617122242</v>
      </c>
      <c r="I357" s="20">
        <v>2402046.7382877693</v>
      </c>
    </row>
    <row r="358" spans="7:9" x14ac:dyDescent="0.35">
      <c r="G358" s="19">
        <v>0.121</v>
      </c>
      <c r="H358" s="20">
        <v>7630316.6428182572</v>
      </c>
      <c r="I358" s="20">
        <v>2369683.357181882</v>
      </c>
    </row>
    <row r="359" spans="7:9" x14ac:dyDescent="0.35">
      <c r="G359" s="19">
        <v>0.122</v>
      </c>
      <c r="H359" s="20">
        <v>7662299.8245237814</v>
      </c>
      <c r="I359" s="20">
        <v>2337700.1754761655</v>
      </c>
    </row>
    <row r="360" spans="7:9" x14ac:dyDescent="0.35">
      <c r="G360" s="19">
        <v>0.123</v>
      </c>
      <c r="H360" s="20">
        <v>7693906.1727782646</v>
      </c>
      <c r="I360" s="20">
        <v>2306093.8272216264</v>
      </c>
    </row>
    <row r="361" spans="7:9" x14ac:dyDescent="0.35">
      <c r="G361" s="19">
        <v>0.124</v>
      </c>
      <c r="H361" s="20">
        <v>7725139.0447105588</v>
      </c>
      <c r="I361" s="20">
        <v>2274860.9552894845</v>
      </c>
    </row>
    <row r="362" spans="7:9" x14ac:dyDescent="0.35">
      <c r="G362" s="19">
        <v>0.125</v>
      </c>
      <c r="H362" s="20">
        <v>7756001.7882277351</v>
      </c>
      <c r="I362" s="20">
        <v>2243998.2117722388</v>
      </c>
    </row>
    <row r="363" spans="7:9" x14ac:dyDescent="0.35">
      <c r="G363" s="19">
        <v>0.126</v>
      </c>
      <c r="H363" s="20">
        <v>7786497.7416228727</v>
      </c>
      <c r="I363" s="20">
        <v>2213502.2583771106</v>
      </c>
    </row>
    <row r="364" spans="7:9" x14ac:dyDescent="0.35">
      <c r="G364" s="19">
        <v>0.127</v>
      </c>
      <c r="H364" s="20">
        <v>7816630.2331890622</v>
      </c>
      <c r="I364" s="20">
        <v>2183369.7668109038</v>
      </c>
    </row>
    <row r="365" spans="7:9" x14ac:dyDescent="0.35">
      <c r="G365" s="19">
        <v>0.128</v>
      </c>
      <c r="H365" s="20">
        <v>7846402.580842616</v>
      </c>
      <c r="I365" s="20">
        <v>2153597.4191574394</v>
      </c>
    </row>
    <row r="366" spans="7:9" x14ac:dyDescent="0.35">
      <c r="G366" s="19">
        <v>0.129</v>
      </c>
      <c r="H366" s="20">
        <v>7875818.0917531</v>
      </c>
      <c r="I366" s="20">
        <v>2124181.9082468585</v>
      </c>
    </row>
    <row r="367" spans="7:9" x14ac:dyDescent="0.35">
      <c r="G367" s="19">
        <v>0.13</v>
      </c>
      <c r="H367" s="20">
        <v>7904880.0619825972</v>
      </c>
      <c r="I367" s="20">
        <v>2095119.9380174433</v>
      </c>
    </row>
    <row r="368" spans="7:9" x14ac:dyDescent="0.35">
      <c r="G368" s="19">
        <v>0.13100000000000001</v>
      </c>
      <c r="H368" s="20">
        <v>7933591.7761311308</v>
      </c>
      <c r="I368" s="20">
        <v>2066408.2238688692</v>
      </c>
    </row>
    <row r="369" spans="7:9" x14ac:dyDescent="0.35">
      <c r="G369" s="19">
        <v>0.13200000000000001</v>
      </c>
      <c r="H369" s="20">
        <v>7961956.506991786</v>
      </c>
      <c r="I369" s="20">
        <v>2038043.4930082569</v>
      </c>
    </row>
    <row r="370" spans="7:9" x14ac:dyDescent="0.35">
      <c r="G370" s="19">
        <v>0.13300000000000001</v>
      </c>
      <c r="H370" s="20">
        <v>7989977.5152121754</v>
      </c>
      <c r="I370" s="20">
        <v>2010022.4847878371</v>
      </c>
    </row>
    <row r="371" spans="7:9" x14ac:dyDescent="0.35">
      <c r="G371" s="19">
        <v>0.13400000000000001</v>
      </c>
      <c r="H371" s="20">
        <v>8017658.0489649801</v>
      </c>
      <c r="I371" s="20">
        <v>1982341.9510349589</v>
      </c>
    </row>
    <row r="372" spans="7:9" x14ac:dyDescent="0.35">
      <c r="G372" s="19">
        <v>0.13500000000000001</v>
      </c>
      <c r="H372" s="20">
        <v>8045001.3436256284</v>
      </c>
      <c r="I372" s="20">
        <v>1954998.656374407</v>
      </c>
    </row>
    <row r="373" spans="7:9" x14ac:dyDescent="0.35">
      <c r="G373" s="19">
        <v>0.13600000000000001</v>
      </c>
      <c r="H373" s="20">
        <v>8072010.6214576084</v>
      </c>
      <c r="I373" s="20">
        <v>1927989.3785423236</v>
      </c>
    </row>
    <row r="374" spans="7:9" x14ac:dyDescent="0.35">
      <c r="G374" s="19">
        <v>0.13700000000000001</v>
      </c>
      <c r="H374" s="20">
        <v>8098689.0913068904</v>
      </c>
      <c r="I374" s="20">
        <v>1901310.9086931678</v>
      </c>
    </row>
    <row r="375" spans="7:9" x14ac:dyDescent="0.35">
      <c r="G375" s="19">
        <v>0.13800000000000001</v>
      </c>
      <c r="H375" s="20">
        <v>8125039.9483020948</v>
      </c>
      <c r="I375" s="20">
        <v>1874960.0516978363</v>
      </c>
    </row>
    <row r="376" spans="7:9" x14ac:dyDescent="0.35">
      <c r="G376" s="19">
        <v>0.13900000000000001</v>
      </c>
      <c r="H376" s="20">
        <v>8151066.3735648198</v>
      </c>
      <c r="I376" s="20">
        <v>1848933.6264352219</v>
      </c>
    </row>
    <row r="377" spans="7:9" x14ac:dyDescent="0.35">
      <c r="G377" s="19">
        <v>0.14000000000000001</v>
      </c>
      <c r="H377" s="20">
        <v>8176771.5339251244</v>
      </c>
      <c r="I377" s="20">
        <v>1823228.4660748555</v>
      </c>
    </row>
    <row r="378" spans="7:9" x14ac:dyDescent="0.35">
      <c r="G378" s="19">
        <v>0.14099999999999999</v>
      </c>
      <c r="H378" s="20">
        <v>8202158.5816472201</v>
      </c>
      <c r="I378" s="20">
        <v>1797841.4183528342</v>
      </c>
    </row>
    <row r="379" spans="7:9" x14ac:dyDescent="0.35">
      <c r="G379" s="19">
        <v>0.14199999999999999</v>
      </c>
      <c r="H379" s="20">
        <v>8227230.6541606216</v>
      </c>
      <c r="I379" s="20">
        <v>1772769.345839357</v>
      </c>
    </row>
    <row r="380" spans="7:9" x14ac:dyDescent="0.35">
      <c r="G380" s="19">
        <v>0.14299999999999999</v>
      </c>
      <c r="H380" s="20">
        <v>8251990.8738008058</v>
      </c>
      <c r="I380" s="20">
        <v>1748009.1261992611</v>
      </c>
    </row>
    <row r="381" spans="7:9" x14ac:dyDescent="0.35">
      <c r="G381" s="19">
        <v>0.14399999999999999</v>
      </c>
      <c r="H381" s="20">
        <v>8276442.3475555731</v>
      </c>
      <c r="I381" s="20">
        <v>1723557.6524444318</v>
      </c>
    </row>
    <row r="382" spans="7:9" x14ac:dyDescent="0.35">
      <c r="G382" s="19">
        <v>0.14499999999999999</v>
      </c>
      <c r="H382" s="20">
        <v>8300588.1668209862</v>
      </c>
      <c r="I382" s="20">
        <v>1699411.833179136</v>
      </c>
    </row>
    <row r="383" spans="7:9" x14ac:dyDescent="0.35">
      <c r="G383" s="19">
        <v>0.14599999999999999</v>
      </c>
      <c r="H383" s="20">
        <v>8324431.4071625732</v>
      </c>
      <c r="I383" s="20">
        <v>1675568.5928374531</v>
      </c>
    </row>
    <row r="384" spans="7:9" x14ac:dyDescent="0.35">
      <c r="G384" s="19">
        <v>0.14699999999999999</v>
      </c>
      <c r="H384" s="20">
        <v>8347975.1280860677</v>
      </c>
      <c r="I384" s="20">
        <v>1652024.871913888</v>
      </c>
    </row>
    <row r="385" spans="7:9" x14ac:dyDescent="0.35">
      <c r="G385" s="19">
        <v>0.14799999999999999</v>
      </c>
      <c r="H385" s="20">
        <v>8371222.3728141431</v>
      </c>
      <c r="I385" s="20">
        <v>1628777.6271858884</v>
      </c>
    </row>
    <row r="386" spans="7:9" x14ac:dyDescent="0.35">
      <c r="G386" s="19">
        <v>0.14899999999999999</v>
      </c>
      <c r="H386" s="20">
        <v>8394176.1680705063</v>
      </c>
      <c r="I386" s="20">
        <v>1605823.8319294858</v>
      </c>
    </row>
    <row r="387" spans="7:9" x14ac:dyDescent="0.35">
      <c r="G387" s="19">
        <v>0.15</v>
      </c>
      <c r="H387" s="20">
        <v>8416839.5238722973</v>
      </c>
      <c r="I387" s="20">
        <v>1583160.4761277074</v>
      </c>
    </row>
    <row r="388" spans="7:9" x14ac:dyDescent="0.35">
      <c r="G388" s="19">
        <v>0.151</v>
      </c>
      <c r="H388" s="20">
        <v>8439215.433328459</v>
      </c>
      <c r="I388" s="20">
        <v>1560784.5666714695</v>
      </c>
    </row>
    <row r="389" spans="7:9" x14ac:dyDescent="0.35">
      <c r="G389" s="19">
        <v>0.152</v>
      </c>
      <c r="H389" s="20">
        <v>8461306.8724462595</v>
      </c>
      <c r="I389" s="20">
        <v>1538693.1275537622</v>
      </c>
    </row>
    <row r="390" spans="7:9" x14ac:dyDescent="0.35">
      <c r="G390" s="19">
        <v>0.153</v>
      </c>
      <c r="H390" s="20">
        <v>8483116.7999437712</v>
      </c>
      <c r="I390" s="20">
        <v>1516883.2000562281</v>
      </c>
    </row>
    <row r="391" spans="7:9" x14ac:dyDescent="0.35">
      <c r="G391" s="19">
        <v>0.154</v>
      </c>
      <c r="H391" s="20">
        <v>8504648.1570707317</v>
      </c>
      <c r="I391" s="20">
        <v>1495351.8429293239</v>
      </c>
    </row>
    <row r="392" spans="7:9" x14ac:dyDescent="0.35">
      <c r="G392" s="19">
        <v>0.155</v>
      </c>
      <c r="H392" s="20">
        <v>8525903.8674350437</v>
      </c>
      <c r="I392" s="20">
        <v>1474096.1325649538</v>
      </c>
    </row>
    <row r="393" spans="7:9" x14ac:dyDescent="0.35">
      <c r="G393" s="19">
        <v>0.156</v>
      </c>
      <c r="H393" s="20">
        <v>8546886.8368371502</v>
      </c>
      <c r="I393" s="20">
        <v>1453113.1631628796</v>
      </c>
    </row>
    <row r="394" spans="7:9" x14ac:dyDescent="0.35">
      <c r="G394" s="19">
        <v>0.157</v>
      </c>
      <c r="H394" s="20">
        <v>8567599.9531104192</v>
      </c>
      <c r="I394" s="20">
        <v>1432400.0468895775</v>
      </c>
    </row>
    <row r="395" spans="7:9" x14ac:dyDescent="0.35">
      <c r="G395" s="19">
        <v>0.158</v>
      </c>
      <c r="H395" s="20">
        <v>8588046.085968798</v>
      </c>
      <c r="I395" s="20">
        <v>1411953.9140311147</v>
      </c>
    </row>
    <row r="396" spans="7:9" x14ac:dyDescent="0.35">
      <c r="G396" s="19">
        <v>0.159</v>
      </c>
      <c r="H396" s="20">
        <v>8608228.0868612155</v>
      </c>
      <c r="I396" s="20">
        <v>1391771.9131388087</v>
      </c>
    </row>
    <row r="397" spans="7:9" x14ac:dyDescent="0.35">
      <c r="G397" s="19">
        <v>0.16</v>
      </c>
      <c r="H397" s="20">
        <v>8628148.7888314389</v>
      </c>
      <c r="I397" s="20">
        <v>1371851.2111684927</v>
      </c>
    </row>
    <row r="398" spans="7:9" x14ac:dyDescent="0.35">
      <c r="G398" s="19">
        <v>0.161</v>
      </c>
      <c r="H398" s="20">
        <v>8647811.0063864551</v>
      </c>
      <c r="I398" s="20">
        <v>1352188.9936135805</v>
      </c>
    </row>
    <row r="399" spans="7:9" x14ac:dyDescent="0.35">
      <c r="G399" s="19">
        <v>0.16200000000000001</v>
      </c>
      <c r="H399" s="20">
        <v>8667217.5353689324</v>
      </c>
      <c r="I399" s="20">
        <v>1332782.4646310348</v>
      </c>
    </row>
    <row r="400" spans="7:9" x14ac:dyDescent="0.35">
      <c r="G400" s="19">
        <v>0.16300000000000001</v>
      </c>
      <c r="H400" s="20">
        <v>8686371.1528382357</v>
      </c>
      <c r="I400" s="20">
        <v>1313628.8471618309</v>
      </c>
    </row>
    <row r="401" spans="7:9" x14ac:dyDescent="0.35">
      <c r="G401" s="19">
        <v>0.16400000000000001</v>
      </c>
      <c r="H401" s="20">
        <v>8705274.6169557367</v>
      </c>
      <c r="I401" s="20">
        <v>1294725.3830442573</v>
      </c>
    </row>
    <row r="402" spans="7:9" x14ac:dyDescent="0.35">
      <c r="G402" s="19">
        <v>0.16500000000000001</v>
      </c>
      <c r="H402" s="20">
        <v>8723930.6668780018</v>
      </c>
      <c r="I402" s="20">
        <v>1276069.3331220138</v>
      </c>
    </row>
    <row r="403" spans="7:9" x14ac:dyDescent="0.35">
      <c r="G403" s="19">
        <v>0.16600000000000001</v>
      </c>
      <c r="H403" s="20">
        <v>8742342.0226548407</v>
      </c>
      <c r="I403" s="20">
        <v>1257657.9773451688</v>
      </c>
    </row>
    <row r="404" spans="7:9" x14ac:dyDescent="0.35">
      <c r="G404" s="19">
        <v>0.16700000000000001</v>
      </c>
      <c r="H404" s="20">
        <v>8760511.3851340618</v>
      </c>
      <c r="I404" s="20">
        <v>1239488.6148660267</v>
      </c>
    </row>
    <row r="405" spans="7:9" x14ac:dyDescent="0.35">
      <c r="G405" s="19">
        <v>0.16800000000000001</v>
      </c>
      <c r="H405" s="20">
        <v>8778441.4358715378</v>
      </c>
      <c r="I405" s="20">
        <v>1221558.5641284175</v>
      </c>
    </row>
    <row r="406" spans="7:9" x14ac:dyDescent="0.35">
      <c r="G406" s="19">
        <v>0.16900000000000001</v>
      </c>
      <c r="H406" s="20">
        <v>8796134.8370484784</v>
      </c>
      <c r="I406" s="20">
        <v>1203865.1629515751</v>
      </c>
    </row>
    <row r="407" spans="7:9" x14ac:dyDescent="0.35">
      <c r="G407" s="19">
        <v>0.17</v>
      </c>
      <c r="H407" s="20">
        <v>8813594.2313921936</v>
      </c>
      <c r="I407" s="20">
        <v>1186405.7686078455</v>
      </c>
    </row>
    <row r="408" spans="7:9" x14ac:dyDescent="0.35">
      <c r="G408" s="19">
        <v>0.17100000000000001</v>
      </c>
      <c r="H408" s="20">
        <v>8830822.2421048377</v>
      </c>
      <c r="I408" s="20">
        <v>1169177.757895095</v>
      </c>
    </row>
    <row r="409" spans="7:9" x14ac:dyDescent="0.35">
      <c r="G409" s="19">
        <v>0.17199999999999999</v>
      </c>
      <c r="H409" s="20">
        <v>8847821.4727965984</v>
      </c>
      <c r="I409" s="20">
        <v>1152178.5272034437</v>
      </c>
    </row>
    <row r="410" spans="7:9" x14ac:dyDescent="0.35">
      <c r="G410" s="19">
        <v>0.17299999999999999</v>
      </c>
      <c r="H410" s="20">
        <v>8864594.5074238088</v>
      </c>
      <c r="I410" s="20">
        <v>1135405.492576112</v>
      </c>
    </row>
    <row r="411" spans="7:9" x14ac:dyDescent="0.35">
      <c r="G411" s="19">
        <v>0.17399999999999999</v>
      </c>
      <c r="H411" s="20">
        <v>8881143.910234496</v>
      </c>
      <c r="I411" s="20">
        <v>1118856.089765494</v>
      </c>
    </row>
    <row r="412" spans="7:9" x14ac:dyDescent="0.35">
      <c r="G412" s="19">
        <v>0.17499999999999999</v>
      </c>
      <c r="H412" s="20">
        <v>8897472.2257165033</v>
      </c>
      <c r="I412" s="20">
        <v>1102527.7742834154</v>
      </c>
    </row>
    <row r="413" spans="7:9" x14ac:dyDescent="0.35">
      <c r="G413" s="19">
        <v>0.17599999999999999</v>
      </c>
      <c r="H413" s="20">
        <v>8913581.978553582</v>
      </c>
      <c r="I413" s="20">
        <v>1086418.0214464655</v>
      </c>
    </row>
    <row r="414" spans="7:9" x14ac:dyDescent="0.35">
      <c r="G414" s="19">
        <v>0.17699999999999999</v>
      </c>
      <c r="H414" s="20">
        <v>8929475.673584247</v>
      </c>
      <c r="I414" s="20">
        <v>1070524.3264157167</v>
      </c>
    </row>
    <row r="415" spans="7:9" x14ac:dyDescent="0.35">
      <c r="G415" s="19">
        <v>0.17799999999999999</v>
      </c>
      <c r="H415" s="20">
        <v>8945155.7957679033</v>
      </c>
      <c r="I415" s="20">
        <v>1054844.2042321733</v>
      </c>
    </row>
    <row r="416" spans="7:9" x14ac:dyDescent="0.35">
      <c r="G416" s="19">
        <v>0.17899999999999999</v>
      </c>
      <c r="H416" s="20">
        <v>8960624.8101536129</v>
      </c>
      <c r="I416" s="20">
        <v>1039375.1898463789</v>
      </c>
    </row>
    <row r="417" spans="7:9" x14ac:dyDescent="0.35">
      <c r="G417" s="19">
        <v>0.18</v>
      </c>
      <c r="H417" s="20">
        <v>8975885.1618563402</v>
      </c>
      <c r="I417" s="20">
        <v>1024114.8381437445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IOs and POs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Kunal Kunde</dc:creator>
  <cp:keywords/>
  <dc:description/>
  <cp:lastModifiedBy>Kunal Kunde</cp:lastModifiedBy>
  <cp:revision/>
  <dcterms:created xsi:type="dcterms:W3CDTF">2024-01-22T17:29:32Z</dcterms:created>
  <dcterms:modified xsi:type="dcterms:W3CDTF">2024-01-26T02:47:45Z</dcterms:modified>
  <cp:category/>
  <cp:contentStatus/>
</cp:coreProperties>
</file>