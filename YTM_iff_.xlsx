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4/"/>
    </mc:Choice>
  </mc:AlternateContent>
  <xr:revisionPtr revIDLastSave="624" documentId="8_{05878C56-F606-4A43-89BC-23D56D9C1A03}" xr6:coauthVersionLast="47" xr6:coauthVersionMax="47" xr10:uidLastSave="{F7F5A710-E737-43DA-A2B7-FE1ADE80B16D}"/>
  <bookViews>
    <workbookView xWindow="-110" yWindow="-110" windowWidth="19420" windowHeight="11500" xr2:uid="{70AEBDBB-E502-47B4-B60D-7C25A7E13FDC}"/>
  </bookViews>
  <sheets>
    <sheet name="10Y_bond" sheetId="1" r:id="rId1"/>
    <sheet name="Duration" sheetId="2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2" l="1"/>
  <c r="G24" i="2"/>
  <c r="A50" i="2" s="1"/>
  <c r="F27" i="2"/>
  <c r="D11" i="2"/>
  <c r="D12" i="2"/>
  <c r="D13" i="2"/>
  <c r="D14" i="2"/>
  <c r="D15" i="2"/>
  <c r="D16" i="2"/>
  <c r="D17" i="2"/>
  <c r="D18" i="2"/>
  <c r="D19" i="2"/>
  <c r="D20" i="2"/>
  <c r="D10" i="2"/>
  <c r="E10" i="2" s="1"/>
  <c r="F10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B8" i="2"/>
  <c r="F26" i="2" s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52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77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51" i="1"/>
  <c r="G11" i="1"/>
  <c r="G12" i="1"/>
  <c r="G13" i="1"/>
  <c r="G14" i="1"/>
  <c r="G15" i="1"/>
  <c r="G16" i="1"/>
  <c r="G17" i="1"/>
  <c r="G18" i="1"/>
  <c r="G19" i="1"/>
  <c r="G20" i="1"/>
  <c r="D11" i="1"/>
  <c r="D12" i="1"/>
  <c r="D13" i="1"/>
  <c r="D14" i="1"/>
  <c r="D15" i="1"/>
  <c r="D16" i="1"/>
  <c r="D17" i="1"/>
  <c r="D18" i="1"/>
  <c r="D19" i="1"/>
  <c r="D20" i="1"/>
  <c r="F18" i="1"/>
  <c r="F19" i="1"/>
  <c r="F20" i="1"/>
  <c r="E18" i="1"/>
  <c r="E19" i="1"/>
  <c r="E20" i="1"/>
  <c r="B12" i="1"/>
  <c r="C12" i="1" s="1"/>
  <c r="B13" i="1"/>
  <c r="C13" i="1" s="1"/>
  <c r="B14" i="1"/>
  <c r="C14" i="1" s="1"/>
  <c r="B15" i="1"/>
  <c r="C15" i="1" s="1"/>
  <c r="B16" i="1"/>
  <c r="C16" i="1" s="1"/>
  <c r="E16" i="1" s="1"/>
  <c r="B17" i="1"/>
  <c r="C17" i="1" s="1"/>
  <c r="E17" i="1" s="1"/>
  <c r="B18" i="1"/>
  <c r="C18" i="1" s="1"/>
  <c r="B19" i="1"/>
  <c r="C19" i="1" s="1"/>
  <c r="B20" i="1"/>
  <c r="C20" i="1" s="1"/>
  <c r="B11" i="1"/>
  <c r="C11" i="1" s="1"/>
  <c r="F11" i="1" s="1"/>
  <c r="B8" i="1"/>
  <c r="C10" i="1" s="1"/>
  <c r="E19" i="2" l="1"/>
  <c r="F19" i="2" s="1"/>
  <c r="E15" i="2"/>
  <c r="F15" i="2" s="1"/>
  <c r="E13" i="2"/>
  <c r="F13" i="2" s="1"/>
  <c r="E17" i="2"/>
  <c r="F17" i="2" s="1"/>
  <c r="E12" i="2"/>
  <c r="F12" i="2" s="1"/>
  <c r="E14" i="2"/>
  <c r="F14" i="2" s="1"/>
  <c r="E16" i="2"/>
  <c r="F16" i="2" s="1"/>
  <c r="E18" i="2"/>
  <c r="F18" i="2" s="1"/>
  <c r="E20" i="2"/>
  <c r="F20" i="2" s="1"/>
  <c r="E11" i="2"/>
  <c r="F11" i="2" s="1"/>
  <c r="G23" i="1"/>
  <c r="D23" i="1"/>
  <c r="A50" i="1"/>
  <c r="F13" i="1"/>
  <c r="E13" i="1"/>
  <c r="F12" i="1"/>
  <c r="E12" i="1"/>
  <c r="F10" i="1"/>
  <c r="E11" i="1"/>
  <c r="F17" i="1"/>
  <c r="F16" i="1"/>
  <c r="F15" i="1"/>
  <c r="E14" i="1"/>
  <c r="F14" i="1"/>
  <c r="E15" i="1"/>
  <c r="B10" i="1"/>
  <c r="C23" i="1" s="1"/>
  <c r="E21" i="2" l="1"/>
  <c r="F21" i="2"/>
  <c r="E23" i="1"/>
  <c r="F23" i="1"/>
  <c r="D10" i="1"/>
  <c r="D22" i="1" s="1"/>
  <c r="G10" i="1"/>
  <c r="G22" i="1" s="1"/>
  <c r="E10" i="1"/>
  <c r="E22" i="1" s="1"/>
  <c r="F22" i="1"/>
  <c r="F23" i="2" l="1"/>
</calcChain>
</file>

<file path=xl/sharedStrings.xml><?xml version="1.0" encoding="utf-8"?>
<sst xmlns="http://schemas.openxmlformats.org/spreadsheetml/2006/main" count="35" uniqueCount="23">
  <si>
    <t>Settlement</t>
  </si>
  <si>
    <t>Maturity</t>
  </si>
  <si>
    <t>Rate (coupon)</t>
  </si>
  <si>
    <t>Yield</t>
  </si>
  <si>
    <t>Redemption</t>
  </si>
  <si>
    <t>Frequency</t>
  </si>
  <si>
    <t>Basis</t>
  </si>
  <si>
    <t>Bond price</t>
  </si>
  <si>
    <t>t</t>
  </si>
  <si>
    <t>Date</t>
  </si>
  <si>
    <r>
      <t>CF</t>
    </r>
    <r>
      <rPr>
        <vertAlign val="subscript"/>
        <sz val="10"/>
        <color theme="1"/>
        <rFont val="Trebuchet MS"/>
        <family val="2"/>
      </rPr>
      <t>t</t>
    </r>
  </si>
  <si>
    <r>
      <t>FV</t>
    </r>
    <r>
      <rPr>
        <vertAlign val="subscript"/>
        <sz val="10"/>
        <color theme="1"/>
        <rFont val="Trebuchet MS"/>
        <family val="2"/>
      </rPr>
      <t>10</t>
    </r>
  </si>
  <si>
    <t>XIRR(Values,Dates,Guess)</t>
  </si>
  <si>
    <r>
      <t>FV</t>
    </r>
    <r>
      <rPr>
        <vertAlign val="subscript"/>
        <sz val="10"/>
        <color theme="1"/>
        <rFont val="Trebuchet MS"/>
        <family val="2"/>
      </rPr>
      <t>9</t>
    </r>
  </si>
  <si>
    <r>
      <t>FV</t>
    </r>
    <r>
      <rPr>
        <vertAlign val="subscript"/>
        <sz val="10"/>
        <color theme="1"/>
        <rFont val="Trebuchet MS"/>
        <family val="2"/>
      </rPr>
      <t>8</t>
    </r>
  </si>
  <si>
    <r>
      <t>DF</t>
    </r>
    <r>
      <rPr>
        <vertAlign val="subscript"/>
        <sz val="10"/>
        <color theme="1"/>
        <rFont val="Trebuchet MS"/>
        <family val="2"/>
      </rPr>
      <t>t</t>
    </r>
  </si>
  <si>
    <r>
      <t>PV=CF</t>
    </r>
    <r>
      <rPr>
        <vertAlign val="subscript"/>
        <sz val="10"/>
        <color theme="1"/>
        <rFont val="Trebuchet MS"/>
        <family val="2"/>
      </rPr>
      <t>t</t>
    </r>
    <r>
      <rPr>
        <sz val="10"/>
        <color theme="1"/>
        <rFont val="Trebuchet MS"/>
        <family val="2"/>
      </rPr>
      <t>*DF</t>
    </r>
    <r>
      <rPr>
        <vertAlign val="subscript"/>
        <sz val="10"/>
        <color theme="1"/>
        <rFont val="Trebuchet MS"/>
        <family val="2"/>
      </rPr>
      <t>t</t>
    </r>
  </si>
  <si>
    <t>t*PV</t>
  </si>
  <si>
    <t>DURATION()</t>
  </si>
  <si>
    <t>Macaulay Duration</t>
  </si>
  <si>
    <t>for the data table</t>
  </si>
  <si>
    <t>Modified Duration</t>
  </si>
  <si>
    <t>MDURATION()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</si>
</sst>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0.000%"/>
    <numFmt numFmtId="165" formatCode="&quot;₹&quot;\ #,##0.000000;[Red]&quot;₹&quot;\ \-#,##0.000000"/>
  </numFmts>
  <fonts count="8" x14ac:knownFonts="1"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i/>
      <sz val="10"/>
      <color theme="1"/>
      <name val="Trebuchet MS"/>
      <family val="2"/>
    </font>
    <font>
      <vertAlign val="subscript"/>
      <sz val="10"/>
      <color theme="1"/>
      <name val="Trebuchet MS"/>
      <family val="2"/>
    </font>
    <font>
      <i/>
      <sz val="10"/>
      <color theme="7" tint="-0.499984740745262"/>
      <name val="Trebuchet MS"/>
      <family val="2"/>
    </font>
    <font>
      <sz val="10"/>
      <color theme="5" tint="-0.249977111117893"/>
      <name val="Trebuchet MS"/>
      <family val="2"/>
    </font>
    <font>
      <sz val="10"/>
      <color rgb="FF0070C0"/>
      <name val="Trebuchet MS"/>
      <family val="2"/>
    </font>
    <font>
      <sz val="10"/>
      <color theme="2" tint="-0.249977111117893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15" fontId="1" fillId="0" borderId="0" xfId="0" applyNumberFormat="1" applyFont="1" applyAlignment="1">
      <alignment horizontal="right" vertical="center" indent="1"/>
    </xf>
    <xf numFmtId="8" fontId="1" fillId="0" borderId="0" xfId="0" applyNumberFormat="1" applyFont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8" fontId="0" fillId="0" borderId="0" xfId="0" applyNumberFormat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8" fontId="2" fillId="0" borderId="0" xfId="0" applyNumberFormat="1" applyFont="1" applyAlignment="1">
      <alignment horizontal="right" vertical="center" indent="1"/>
    </xf>
    <xf numFmtId="15" fontId="0" fillId="0" borderId="0" xfId="0" applyNumberFormat="1" applyAlignment="1">
      <alignment horizontal="left" vertical="center" indent="1"/>
    </xf>
    <xf numFmtId="164" fontId="0" fillId="0" borderId="0" xfId="0" applyNumberFormat="1" applyAlignment="1">
      <alignment horizontal="right" vertical="center" indent="1"/>
    </xf>
    <xf numFmtId="164" fontId="1" fillId="0" borderId="0" xfId="0" applyNumberFormat="1" applyFont="1" applyAlignment="1">
      <alignment horizontal="right" vertical="center" indent="1"/>
    </xf>
    <xf numFmtId="165" fontId="0" fillId="0" borderId="1" xfId="0" applyNumberFormat="1" applyBorder="1" applyAlignment="1">
      <alignment horizontal="right" vertical="center" indent="1"/>
    </xf>
    <xf numFmtId="0" fontId="0" fillId="0" borderId="0" xfId="0" quotePrefix="1" applyAlignment="1">
      <alignment horizontal="right" vertical="center"/>
    </xf>
    <xf numFmtId="10" fontId="0" fillId="0" borderId="0" xfId="0" applyNumberFormat="1" applyAlignment="1">
      <alignment horizontal="right" vertical="center" indent="1"/>
    </xf>
    <xf numFmtId="15" fontId="0" fillId="0" borderId="0" xfId="0" applyNumberFormat="1" applyAlignment="1">
      <alignment horizontal="right" vertical="center" indent="1"/>
    </xf>
    <xf numFmtId="15" fontId="4" fillId="0" borderId="0" xfId="0" applyNumberFormat="1" applyFont="1" applyAlignment="1">
      <alignment horizontal="right" vertical="center" indent="1"/>
    </xf>
    <xf numFmtId="0" fontId="4" fillId="0" borderId="0" xfId="0" applyFont="1"/>
    <xf numFmtId="8" fontId="4" fillId="0" borderId="0" xfId="0" applyNumberFormat="1" applyFont="1" applyAlignment="1">
      <alignment horizontal="right" vertical="center" indent="1"/>
    </xf>
    <xf numFmtId="8" fontId="5" fillId="0" borderId="0" xfId="0" applyNumberFormat="1" applyFont="1" applyAlignment="1">
      <alignment horizontal="right" vertical="center" indent="1"/>
    </xf>
    <xf numFmtId="8" fontId="6" fillId="0" borderId="0" xfId="0" applyNumberFormat="1" applyFont="1" applyAlignment="1">
      <alignment horizontal="right" vertical="center" indent="1"/>
    </xf>
    <xf numFmtId="4" fontId="0" fillId="0" borderId="0" xfId="0" applyNumberFormat="1" applyAlignment="1">
      <alignment horizontal="right" vertical="center" indent="1"/>
    </xf>
    <xf numFmtId="8" fontId="0" fillId="0" borderId="1" xfId="0" applyNumberFormat="1" applyBorder="1" applyAlignment="1">
      <alignment horizontal="right" vertical="center" indent="1"/>
    </xf>
    <xf numFmtId="4" fontId="7" fillId="0" borderId="0" xfId="0" applyNumberFormat="1" applyFont="1" applyAlignment="1">
      <alignment horizontal="right" vertical="center" indent="1"/>
    </xf>
    <xf numFmtId="4" fontId="7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IN"/>
              <a:t>Bonds priced at constant YTM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20581802274717"/>
          <c:y val="0.17171296296296296"/>
          <c:w val="0.84023862642169733"/>
          <c:h val="0.60514690871974341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'10Y_bond'!$B$51:$B$91</c:f>
              <c:numCache>
                <c:formatCode>"₹"#,##0.00_);[Red]\("₹"#,##0.00\)</c:formatCode>
                <c:ptCount val="41"/>
                <c:pt idx="0">
                  <c:v>116.83338214562289</c:v>
                </c:pt>
                <c:pt idx="1">
                  <c:v>116.47218880045149</c:v>
                </c:pt>
                <c:pt idx="2">
                  <c:v>116.12859146667407</c:v>
                </c:pt>
                <c:pt idx="3">
                  <c:v>115.80280608666745</c:v>
                </c:pt>
                <c:pt idx="4">
                  <c:v>115.49505125290403</c:v>
                </c:pt>
                <c:pt idx="5">
                  <c:v>115.11743359727355</c:v>
                </c:pt>
                <c:pt idx="6">
                  <c:v>114.75721039004878</c:v>
                </c:pt>
                <c:pt idx="7">
                  <c:v>114.41459509997827</c:v>
                </c:pt>
                <c:pt idx="8">
                  <c:v>114.08980381554923</c:v>
                </c:pt>
                <c:pt idx="9">
                  <c:v>113.69494063393674</c:v>
                </c:pt>
                <c:pt idx="10">
                  <c:v>113.31726025959225</c:v>
                </c:pt>
                <c:pt idx="11">
                  <c:v>112.95697356395463</c:v>
                </c:pt>
                <c:pt idx="12">
                  <c:v>112.61429400632669</c:v>
                </c:pt>
                <c:pt idx="13">
                  <c:v>112.20132302243307</c:v>
                </c:pt>
                <c:pt idx="14">
                  <c:v>111.80531262261286</c:v>
                </c:pt>
                <c:pt idx="15">
                  <c:v>111.42647095112982</c:v>
                </c:pt>
                <c:pt idx="16">
                  <c:v>111.06500870664304</c:v>
                </c:pt>
                <c:pt idx="17">
                  <c:v>110.63302453035423</c:v>
                </c:pt>
                <c:pt idx="18">
                  <c:v>110.21776760378451</c:v>
                </c:pt>
                <c:pt idx="19">
                  <c:v>109.81944320766375</c:v>
                </c:pt>
                <c:pt idx="20">
                  <c:v>109.43825914197518</c:v>
                </c:pt>
                <c:pt idx="21">
                  <c:v>108.98631111367145</c:v>
                </c:pt>
                <c:pt idx="22">
                  <c:v>108.55084533401475</c:v>
                </c:pt>
                <c:pt idx="23">
                  <c:v>108.1320640770244</c:v>
                </c:pt>
                <c:pt idx="24">
                  <c:v>107.73017209907394</c:v>
                </c:pt>
                <c:pt idx="25">
                  <c:v>107.25726202615451</c:v>
                </c:pt>
                <c:pt idx="26">
                  <c:v>106.80057695075649</c:v>
                </c:pt>
                <c:pt idx="27">
                  <c:v>106.36031598985306</c:v>
                </c:pt>
                <c:pt idx="28">
                  <c:v>105.93668070402762</c:v>
                </c:pt>
                <c:pt idx="29">
                  <c:v>105.44176048426174</c:v>
                </c:pt>
                <c:pt idx="30">
                  <c:v>104.96279514833532</c:v>
                </c:pt>
                <c:pt idx="31">
                  <c:v>104.49998049832317</c:v>
                </c:pt>
                <c:pt idx="32">
                  <c:v>104.05351473922903</c:v>
                </c:pt>
                <c:pt idx="33">
                  <c:v>103.53548386527434</c:v>
                </c:pt>
                <c:pt idx="34">
                  <c:v>103.03312425579311</c:v>
                </c:pt>
                <c:pt idx="35">
                  <c:v>102.54662823221679</c:v>
                </c:pt>
                <c:pt idx="36">
                  <c:v>102.07619047619048</c:v>
                </c:pt>
                <c:pt idx="37">
                  <c:v>101.51102409638554</c:v>
                </c:pt>
                <c:pt idx="38">
                  <c:v>100.97585365853659</c:v>
                </c:pt>
                <c:pt idx="39">
                  <c:v>100.4717901234568</c:v>
                </c:pt>
                <c:pt idx="40">
                  <c:v>100.00506040056165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46-4010-9D96-0339E927562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'10Y_bond'!$C$51:$C$91</c:f>
              <c:numCache>
                <c:formatCode>"₹"#,##0.00_);[Red]\("₹"#,##0.00\)</c:formatCode>
                <c:ptCount val="41"/>
                <c:pt idx="0">
                  <c:v>115.14162184888332</c:v>
                </c:pt>
                <c:pt idx="1">
                  <c:v>114.8151294465974</c:v>
                </c:pt>
                <c:pt idx="2">
                  <c:v>114.50736627992509</c:v>
                </c:pt>
                <c:pt idx="3">
                  <c:v>114.21857122013087</c:v>
                </c:pt>
                <c:pt idx="4">
                  <c:v>113.94898618502525</c:v>
                </c:pt>
                <c:pt idx="5">
                  <c:v>113.60728299705161</c:v>
                </c:pt>
                <c:pt idx="6">
                  <c:v>113.28411504747328</c:v>
                </c:pt>
                <c:pt idx="7">
                  <c:v>112.97971873332877</c:v>
                </c:pt>
                <c:pt idx="8">
                  <c:v>112.69433346664655</c:v>
                </c:pt>
                <c:pt idx="9">
                  <c:v>112.33662853212944</c:v>
                </c:pt>
                <c:pt idx="10">
                  <c:v>111.99725475093398</c:v>
                </c:pt>
                <c:pt idx="11">
                  <c:v>111.67644591721296</c:v>
                </c:pt>
                <c:pt idx="12">
                  <c:v>111.37443880691221</c:v>
                </c:pt>
                <c:pt idx="13">
                  <c:v>110.99990003503132</c:v>
                </c:pt>
                <c:pt idx="14">
                  <c:v>110.64347771897462</c:v>
                </c:pt>
                <c:pt idx="15">
                  <c:v>110.30540291465913</c:v>
                </c:pt>
                <c:pt idx="16">
                  <c:v>109.98590962487164</c:v>
                </c:pt>
                <c:pt idx="17">
                  <c:v>109.59366165608409</c:v>
                </c:pt>
                <c:pt idx="18">
                  <c:v>109.2193042813534</c:v>
                </c:pt>
                <c:pt idx="19">
                  <c:v>108.86306567597249</c:v>
                </c:pt>
                <c:pt idx="20">
                  <c:v>108.52517692536497</c:v>
                </c:pt>
                <c:pt idx="21">
                  <c:v>108.11429888143162</c:v>
                </c:pt>
                <c:pt idx="22">
                  <c:v>107.72107382497586</c:v>
                </c:pt>
                <c:pt idx="23">
                  <c:v>107.34572690087417</c:v>
                </c:pt>
                <c:pt idx="24">
                  <c:v>106.98848612548396</c:v>
                </c:pt>
                <c:pt idx="25">
                  <c:v>106.55800924249722</c:v>
                </c:pt>
                <c:pt idx="26">
                  <c:v>106.14493538486667</c:v>
                </c:pt>
                <c:pt idx="27">
                  <c:v>105.74948650947073</c:v>
                </c:pt>
                <c:pt idx="28">
                  <c:v>105.37188740400913</c:v>
                </c:pt>
                <c:pt idx="29">
                  <c:v>104.92079254233822</c:v>
                </c:pt>
                <c:pt idx="30">
                  <c:v>104.48683774587181</c:v>
                </c:pt>
                <c:pt idx="31">
                  <c:v>104.0702416177143</c:v>
                </c:pt>
                <c:pt idx="32">
                  <c:v>103.67122554901762</c:v>
                </c:pt>
                <c:pt idx="33">
                  <c:v>103.19844057377097</c:v>
                </c:pt>
                <c:pt idx="34">
                  <c:v>102.74251902964923</c:v>
                </c:pt>
                <c:pt idx="35">
                  <c:v>102.30367599158654</c:v>
                </c:pt>
                <c:pt idx="36">
                  <c:v>101.88212927756655</c:v>
                </c:pt>
                <c:pt idx="37">
                  <c:v>101.36188161693937</c:v>
                </c:pt>
                <c:pt idx="38">
                  <c:v>100.87393762183235</c:v>
                </c:pt>
                <c:pt idx="39">
                  <c:v>100.4195409674235</c:v>
                </c:pt>
                <c:pt idx="40">
                  <c:v>100.00446512479061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46-4010-9D96-0339E927562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'10Y_bond'!$D$51:$D$91</c:f>
              <c:numCache>
                <c:formatCode>"₹"#,##0.00_);[Red]\("₹"#,##0.00\)</c:formatCode>
                <c:ptCount val="41"/>
                <c:pt idx="0">
                  <c:v>113.48156430104244</c:v>
                </c:pt>
                <c:pt idx="1">
                  <c:v>113.18848475136353</c:v>
                </c:pt>
                <c:pt idx="2">
                  <c:v>112.91528301226109</c:v>
                </c:pt>
                <c:pt idx="3">
                  <c:v>112.66222216514741</c:v>
                </c:pt>
                <c:pt idx="4">
                  <c:v>112.42956877329873</c:v>
                </c:pt>
                <c:pt idx="5">
                  <c:v>112.12256613746486</c:v>
                </c:pt>
                <c:pt idx="6">
                  <c:v>111.83525704115021</c:v>
                </c:pt>
                <c:pt idx="7">
                  <c:v>111.56790212695277</c:v>
                </c:pt>
                <c:pt idx="8">
                  <c:v>111.32076548705686</c:v>
                </c:pt>
                <c:pt idx="9">
                  <c:v>110.99908791841564</c:v>
                </c:pt>
                <c:pt idx="10">
                  <c:v>110.69690966759936</c:v>
                </c:pt>
                <c:pt idx="11">
                  <c:v>110.41448880669564</c:v>
                </c:pt>
                <c:pt idx="12">
                  <c:v>110.15208682335793</c:v>
                </c:pt>
                <c:pt idx="13">
                  <c:v>109.81494187553778</c:v>
                </c:pt>
                <c:pt idx="14">
                  <c:v>109.49709153587676</c:v>
                </c:pt>
                <c:pt idx="15">
                  <c:v>109.19879116714462</c:v>
                </c:pt>
                <c:pt idx="16">
                  <c:v>108.92029951181927</c:v>
                </c:pt>
                <c:pt idx="17">
                  <c:v>108.5668519463445</c:v>
                </c:pt>
                <c:pt idx="18">
                  <c:v>108.23248322504114</c:v>
                </c:pt>
                <c:pt idx="19">
                  <c:v>107.91744585505785</c:v>
                </c:pt>
                <c:pt idx="20">
                  <c:v>107.62199568545749</c:v>
                </c:pt>
                <c:pt idx="21">
                  <c:v>107.25136516097479</c:v>
                </c:pt>
                <c:pt idx="22">
                  <c:v>106.89958606542041</c:v>
                </c:pt>
                <c:pt idx="23">
                  <c:v>106.56690789611839</c:v>
                </c:pt>
                <c:pt idx="24">
                  <c:v>106.2535834524722</c:v>
                </c:pt>
                <c:pt idx="25">
                  <c:v>105.86484208919514</c:v>
                </c:pt>
                <c:pt idx="26">
                  <c:v>105.49471245918015</c:v>
                </c:pt>
                <c:pt idx="27">
                  <c:v>105.14344088739618</c:v>
                </c:pt>
                <c:pt idx="28">
                  <c:v>104.81127695890571</c:v>
                </c:pt>
                <c:pt idx="29">
                  <c:v>104.40344677153935</c:v>
                </c:pt>
                <c:pt idx="30">
                  <c:v>104.01397567820291</c:v>
                </c:pt>
                <c:pt idx="31">
                  <c:v>103.643106660203</c:v>
                </c:pt>
                <c:pt idx="32">
                  <c:v>103.29108591468662</c:v>
                </c:pt>
                <c:pt idx="33">
                  <c:v>102.86313610673017</c:v>
                </c:pt>
                <c:pt idx="34">
                  <c:v>102.45327911105289</c:v>
                </c:pt>
                <c:pt idx="35">
                  <c:v>102.06175438474138</c:v>
                </c:pt>
                <c:pt idx="36">
                  <c:v>101.6888045540797</c:v>
                </c:pt>
                <c:pt idx="37">
                  <c:v>101.21316914944738</c:v>
                </c:pt>
                <c:pt idx="38">
                  <c:v>100.7722200584226</c:v>
                </c:pt>
                <c:pt idx="39">
                  <c:v>100.36734336457819</c:v>
                </c:pt>
                <c:pt idx="40">
                  <c:v>100.00386985563276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46-4010-9D96-0339E927562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'10Y_bond'!$E$51:$E$91</c:f>
              <c:numCache>
                <c:formatCode>"₹"#,##0.00_);[Red]\("₹"#,##0.00\)</c:formatCode>
                <c:ptCount val="41"/>
                <c:pt idx="0">
                  <c:v>111.85253098940267</c:v>
                </c:pt>
                <c:pt idx="1">
                  <c:v>111.59161631633724</c:v>
                </c:pt>
                <c:pt idx="2">
                  <c:v>111.3517420056981</c:v>
                </c:pt>
                <c:pt idx="3">
                  <c:v>111.13319663129745</c:v>
                </c:pt>
                <c:pt idx="4">
                  <c:v>110.93627272480921</c:v>
                </c:pt>
                <c:pt idx="5">
                  <c:v>110.662791341389</c:v>
                </c:pt>
                <c:pt idx="6">
                  <c:v>110.41017796483195</c:v>
                </c:pt>
                <c:pt idx="7">
                  <c:v>110.17871880505082</c:v>
                </c:pt>
                <c:pt idx="8">
                  <c:v>109.96870399739853</c:v>
                </c:pt>
                <c:pt idx="9">
                  <c:v>109.68195216784365</c:v>
                </c:pt>
                <c:pt idx="10">
                  <c:v>109.41588633767728</c:v>
                </c:pt>
                <c:pt idx="11">
                  <c:v>109.17079022053436</c:v>
                </c:pt>
                <c:pt idx="12">
                  <c:v>108.94695142125286</c:v>
                </c:pt>
                <c:pt idx="13">
                  <c:v>108.64618600057976</c:v>
                </c:pt>
                <c:pt idx="14">
                  <c:v>108.36591437940199</c:v>
                </c:pt>
                <c:pt idx="15">
                  <c:v>108.10641763528497</c:v>
                </c:pt>
                <c:pt idx="16">
                  <c:v>107.86798070084305</c:v>
                </c:pt>
                <c:pt idx="17">
                  <c:v>107.5524169279491</c:v>
                </c:pt>
                <c:pt idx="18">
                  <c:v>107.25714399146324</c:v>
                </c:pt>
                <c:pt idx="19">
                  <c:v>106.98244018526164</c:v>
                </c:pt>
                <c:pt idx="20">
                  <c:v>106.72858762009025</c:v>
                </c:pt>
                <c:pt idx="21">
                  <c:v>106.39739678725111</c:v>
                </c:pt>
                <c:pt idx="22">
                  <c:v>106.08628246179994</c:v>
                </c:pt>
                <c:pt idx="23">
                  <c:v>105.79551999803699</c:v>
                </c:pt>
                <c:pt idx="24">
                  <c:v>105.52538852681532</c:v>
                </c:pt>
                <c:pt idx="25">
                  <c:v>105.17769551867404</c:v>
                </c:pt>
                <c:pt idx="26">
                  <c:v>104.84985268647549</c:v>
                </c:pt>
                <c:pt idx="27">
                  <c:v>104.54213228032775</c:v>
                </c:pt>
                <c:pt idx="28">
                  <c:v>104.25481028431699</c:v>
                </c:pt>
                <c:pt idx="29">
                  <c:v>103.88969097905665</c:v>
                </c:pt>
                <c:pt idx="30">
                  <c:v>103.54418284373287</c:v>
                </c:pt>
                <c:pt idx="31">
                  <c:v>103.21855485042681</c:v>
                </c:pt>
                <c:pt idx="32">
                  <c:v>102.91307966023874</c:v>
                </c:pt>
                <c:pt idx="33">
                  <c:v>102.52955818522069</c:v>
                </c:pt>
                <c:pt idx="34">
                  <c:v>102.16539548979667</c:v>
                </c:pt>
                <c:pt idx="35">
                  <c:v>101.82085708445139</c:v>
                </c:pt>
                <c:pt idx="36">
                  <c:v>101.49621212121212</c:v>
                </c:pt>
                <c:pt idx="37">
                  <c:v>101.06488483685222</c:v>
                </c:pt>
                <c:pt idx="38">
                  <c:v>100.67070038910506</c:v>
                </c:pt>
                <c:pt idx="39">
                  <c:v>100.31519723865878</c:v>
                </c:pt>
                <c:pt idx="40">
                  <c:v>100.00327459308801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046-4010-9D96-0339E927562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'10Y_bond'!$F$51:$F$91</c:f>
              <c:numCache>
                <c:formatCode>"₹"#,##0.00_);[Red]\("₹"#,##0.00\)</c:formatCode>
                <c:ptCount val="41"/>
                <c:pt idx="0">
                  <c:v>110.25385942278569</c:v>
                </c:pt>
                <c:pt idx="1">
                  <c:v>110.02390054388187</c:v>
                </c:pt>
                <c:pt idx="2">
                  <c:v>109.81615724748505</c:v>
                </c:pt>
                <c:pt idx="3">
                  <c:v>109.6309448812877</c:v>
                </c:pt>
                <c:pt idx="4">
                  <c:v>109.46858326930727</c:v>
                </c:pt>
                <c:pt idx="5">
                  <c:v>109.22747748381853</c:v>
                </c:pt>
                <c:pt idx="6">
                  <c:v>109.00842905175288</c:v>
                </c:pt>
                <c:pt idx="7">
                  <c:v>108.8117510747587</c:v>
                </c:pt>
                <c:pt idx="8">
                  <c:v>108.6377610989271</c:v>
                </c:pt>
                <c:pt idx="9">
                  <c:v>108.38486188627154</c:v>
                </c:pt>
                <c:pt idx="10">
                  <c:v>108.15385262066826</c:v>
                </c:pt>
                <c:pt idx="11">
                  <c:v>107.94504402745105</c:v>
                </c:pt>
                <c:pt idx="12">
                  <c:v>107.75875124266486</c:v>
                </c:pt>
                <c:pt idx="13">
                  <c:v>107.49337458406683</c:v>
                </c:pt>
                <c:pt idx="14">
                  <c:v>107.24971075658071</c:v>
                </c:pt>
                <c:pt idx="15">
                  <c:v>107.02806797139952</c:v>
                </c:pt>
                <c:pt idx="16">
                  <c:v>106.82875881473942</c:v>
                </c:pt>
                <c:pt idx="17">
                  <c:v>106.55018101833423</c:v>
                </c:pt>
                <c:pt idx="18">
                  <c:v>106.2931286643761</c:v>
                </c:pt>
                <c:pt idx="19">
                  <c:v>106.05790730409701</c:v>
                </c:pt>
                <c:pt idx="20">
                  <c:v>105.84482682599432</c:v>
                </c:pt>
                <c:pt idx="21">
                  <c:v>105.55228222578916</c:v>
                </c:pt>
                <c:pt idx="22">
                  <c:v>105.28106481082361</c:v>
                </c:pt>
                <c:pt idx="23">
                  <c:v>105.03147731809096</c:v>
                </c:pt>
                <c:pt idx="24">
                  <c:v>104.80382678190199</c:v>
                </c:pt>
                <c:pt idx="25">
                  <c:v>104.49650530327645</c:v>
                </c:pt>
                <c:pt idx="26">
                  <c:v>104.21030125376508</c:v>
                </c:pt>
                <c:pt idx="27">
                  <c:v>103.94551439289654</c:v>
                </c:pt>
                <c:pt idx="28">
                  <c:v>103.7024487352523</c:v>
                </c:pt>
                <c:pt idx="29">
                  <c:v>103.37949331925802</c:v>
                </c:pt>
                <c:pt idx="30">
                  <c:v>103.07743341039713</c:v>
                </c:pt>
                <c:pt idx="31">
                  <c:v>102.79656561804087</c:v>
                </c:pt>
                <c:pt idx="32">
                  <c:v>102.53719076189694</c:v>
                </c:pt>
                <c:pt idx="33">
                  <c:v>102.1976946401665</c:v>
                </c:pt>
                <c:pt idx="34">
                  <c:v>101.8788592321139</c:v>
                </c:pt>
                <c:pt idx="35">
                  <c:v>101.58097781424355</c:v>
                </c:pt>
                <c:pt idx="36">
                  <c:v>101.30434782608695</c:v>
                </c:pt>
                <c:pt idx="37">
                  <c:v>100.91702683277431</c:v>
                </c:pt>
                <c:pt idx="38">
                  <c:v>100.56937803692907</c:v>
                </c:pt>
                <c:pt idx="39">
                  <c:v>100.26310251355348</c:v>
                </c:pt>
                <c:pt idx="40">
                  <c:v>100.00267933715618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046-4010-9D96-0339E927562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'10Y_bond'!$G$51:$G$91</c:f>
              <c:numCache>
                <c:formatCode>"₹"#,##0.00_);[Red]\("₹"#,##0.00\)</c:formatCode>
                <c:ptCount val="41"/>
                <c:pt idx="0">
                  <c:v>108.6849027206693</c:v>
                </c:pt>
                <c:pt idx="1">
                  <c:v>108.48472826404812</c:v>
                </c:pt>
                <c:pt idx="2">
                  <c:v>108.30795603211629</c:v>
                </c:pt>
                <c:pt idx="3">
                  <c:v>108.15492942551897</c:v>
                </c:pt>
                <c:pt idx="4">
                  <c:v>108.02599688390947</c:v>
                </c:pt>
                <c:pt idx="5">
                  <c:v>107.81615374440003</c:v>
                </c:pt>
                <c:pt idx="6">
                  <c:v>107.62957095281462</c:v>
                </c:pt>
                <c:pt idx="7">
                  <c:v>107.4665898279205</c:v>
                </c:pt>
                <c:pt idx="8">
                  <c:v>107.32755669694403</c:v>
                </c:pt>
                <c:pt idx="9">
                  <c:v>107.10746475357305</c:v>
                </c:pt>
                <c:pt idx="10">
                  <c:v>106.91048276875482</c:v>
                </c:pt>
                <c:pt idx="11">
                  <c:v>106.73694985446612</c:v>
                </c:pt>
                <c:pt idx="12">
                  <c:v>106.58721009876066</c:v>
                </c:pt>
                <c:pt idx="13">
                  <c:v>106.35625442329646</c:v>
                </c:pt>
                <c:pt idx="14">
                  <c:v>106.14824929365145</c:v>
                </c:pt>
                <c:pt idx="15">
                  <c:v>105.96353148260447</c:v>
                </c:pt>
                <c:pt idx="16">
                  <c:v>105.80244270468633</c:v>
                </c:pt>
                <c:pt idx="17">
                  <c:v>105.55997147320329</c:v>
                </c:pt>
                <c:pt idx="18">
                  <c:v>105.34028181004189</c:v>
                </c:pt>
                <c:pt idx="19">
                  <c:v>105.14370800843115</c:v>
                </c:pt>
                <c:pt idx="20">
                  <c:v>104.97058926696751</c:v>
                </c:pt>
                <c:pt idx="21">
                  <c:v>104.71591154610451</c:v>
                </c:pt>
                <c:pt idx="22">
                  <c:v>104.48383627741572</c:v>
                </c:pt>
                <c:pt idx="23">
                  <c:v>104.2746951258074</c:v>
                </c:pt>
                <c:pt idx="24">
                  <c:v>104.08882462298558</c:v>
                </c:pt>
                <c:pt idx="25">
                  <c:v>103.82120802337982</c:v>
                </c:pt>
                <c:pt idx="26">
                  <c:v>103.57600401283203</c:v>
                </c:pt>
                <c:pt idx="27">
                  <c:v>103.35354147022623</c:v>
                </c:pt>
                <c:pt idx="28">
                  <c:v>103.15415410036471</c:v>
                </c:pt>
                <c:pt idx="29">
                  <c:v>102.87282228929163</c:v>
                </c:pt>
                <c:pt idx="30">
                  <c:v>102.61370181237326</c:v>
                </c:pt>
                <c:pt idx="31">
                  <c:v>102.37711859531019</c:v>
                </c:pt>
                <c:pt idx="32">
                  <c:v>102.16340334638662</c:v>
                </c:pt>
                <c:pt idx="33">
                  <c:v>101.86753341115816</c:v>
                </c:pt>
                <c:pt idx="34">
                  <c:v>101.593661479887</c:v>
                </c:pt>
                <c:pt idx="35">
                  <c:v>101.34211034789921</c:v>
                </c:pt>
                <c:pt idx="36">
                  <c:v>101.11320754716981</c:v>
                </c:pt>
                <c:pt idx="37">
                  <c:v>100.76959330143542</c:v>
                </c:pt>
                <c:pt idx="38">
                  <c:v>100.46825242718447</c:v>
                </c:pt>
                <c:pt idx="39">
                  <c:v>100.21105911330051</c:v>
                </c:pt>
                <c:pt idx="40">
                  <c:v>100.00208408783722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046-4010-9D96-0339E927562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'10Y_bond'!$H$51:$H$91</c:f>
              <c:numCache>
                <c:formatCode>"₹"#,##0.00_);[Red]\("₹"#,##0.00\)</c:formatCode>
                <c:ptCount val="41"/>
                <c:pt idx="0">
                  <c:v>107.14502921366076</c:v>
                </c:pt>
                <c:pt idx="1">
                  <c:v>106.97350437161379</c:v>
                </c:pt>
                <c:pt idx="2">
                  <c:v>106.82657863237013</c:v>
                </c:pt>
                <c:pt idx="3">
                  <c:v>106.70462472467516</c:v>
                </c:pt>
                <c:pt idx="4">
                  <c:v>106.60802102490771</c:v>
                </c:pt>
                <c:pt idx="5">
                  <c:v>106.42835936624446</c:v>
                </c:pt>
                <c:pt idx="6">
                  <c:v>106.27317352030063</c:v>
                </c:pt>
                <c:pt idx="7">
                  <c:v>106.14283434771447</c:v>
                </c:pt>
                <c:pt idx="8">
                  <c:v>106.037718328452</c:v>
                </c:pt>
                <c:pt idx="9">
                  <c:v>105.84941537054227</c:v>
                </c:pt>
                <c:pt idx="10">
                  <c:v>105.68545729128283</c:v>
                </c:pt>
                <c:pt idx="11">
                  <c:v>105.54621296738223</c:v>
                </c:pt>
                <c:pt idx="12">
                  <c:v>105.43205686481603</c:v>
                </c:pt>
                <c:pt idx="13">
                  <c:v>105.23457684710651</c:v>
                </c:pt>
                <c:pt idx="14">
                  <c:v>105.06130265606592</c:v>
                </c:pt>
                <c:pt idx="15">
                  <c:v>104.91260106146943</c:v>
                </c:pt>
                <c:pt idx="16">
                  <c:v>104.78884439043463</c:v>
                </c:pt>
                <c:pt idx="17">
                  <c:v>104.58161833521775</c:v>
                </c:pt>
                <c:pt idx="18">
                  <c:v>104.39845043346557</c:v>
                </c:pt>
                <c:pt idx="19">
                  <c:v>104.23970521739</c:v>
                </c:pt>
                <c:pt idx="20">
                  <c:v>104.10575274264157</c:v>
                </c:pt>
                <c:pt idx="21">
                  <c:v>103.88817639559188</c:v>
                </c:pt>
                <c:pt idx="22">
                  <c:v>103.69450137306399</c:v>
                </c:pt>
                <c:pt idx="23">
                  <c:v>103.52508983097765</c:v>
                </c:pt>
                <c:pt idx="24">
                  <c:v>103.38030941268536</c:v>
                </c:pt>
                <c:pt idx="25">
                  <c:v>103.15174105570921</c:v>
                </c:pt>
                <c:pt idx="26">
                  <c:v>102.94690747091749</c:v>
                </c:pt>
                <c:pt idx="27">
                  <c:v>102.76616829060771</c:v>
                </c:pt>
                <c:pt idx="28">
                  <c:v>102.60988859627184</c:v>
                </c:pt>
                <c:pt idx="29">
                  <c:v>102.36964672475381</c:v>
                </c:pt>
                <c:pt idx="30">
                  <c:v>102.15296274683793</c:v>
                </c:pt>
                <c:pt idx="31">
                  <c:v>101.96019361473488</c:v>
                </c:pt>
                <c:pt idx="32">
                  <c:v>101.79170168924071</c:v>
                </c:pt>
                <c:pt idx="33">
                  <c:v>101.53906254527917</c:v>
                </c:pt>
                <c:pt idx="34">
                  <c:v>101.30979344986544</c:v>
                </c:pt>
                <c:pt idx="35">
                  <c:v>101.10424850895791</c:v>
                </c:pt>
                <c:pt idx="36">
                  <c:v>100.92278719397363</c:v>
                </c:pt>
                <c:pt idx="37">
                  <c:v>100.62258241758242</c:v>
                </c:pt>
                <c:pt idx="38">
                  <c:v>100.36732298739089</c:v>
                </c:pt>
                <c:pt idx="39">
                  <c:v>100.15906696208764</c:v>
                </c:pt>
                <c:pt idx="40">
                  <c:v>100.00148884513099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046-4010-9D96-0339E9275626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'10Y_bond'!$I$51:$I$91</c:f>
              <c:numCache>
                <c:formatCode>"₹"#,##0.00_);[Red]\("₹"#,##0.00\)</c:formatCode>
                <c:ptCount val="41"/>
                <c:pt idx="0">
                  <c:v>105.63362205497003</c:v>
                </c:pt>
                <c:pt idx="1">
                  <c:v>105.48964747295766</c:v>
                </c:pt>
                <c:pt idx="2">
                  <c:v>105.37147797911518</c:v>
                </c:pt>
                <c:pt idx="3">
                  <c:v>105.27951690010757</c:v>
                </c:pt>
                <c:pt idx="4">
                  <c:v>105.21417386648812</c:v>
                </c:pt>
                <c:pt idx="5">
                  <c:v>105.06364342084785</c:v>
                </c:pt>
                <c:pt idx="6">
                  <c:v>104.93881559697262</c:v>
                </c:pt>
                <c:pt idx="7">
                  <c:v>104.84009212000468</c:v>
                </c:pt>
                <c:pt idx="8">
                  <c:v>104.76788099394338</c:v>
                </c:pt>
                <c:pt idx="9">
                  <c:v>104.61037510940302</c:v>
                </c:pt>
                <c:pt idx="10">
                  <c:v>104.47846282237292</c:v>
                </c:pt>
                <c:pt idx="11">
                  <c:v>104.37254415397523</c:v>
                </c:pt>
                <c:pt idx="12">
                  <c:v>104.29302537755578</c:v>
                </c:pt>
                <c:pt idx="13">
                  <c:v>104.12809762602572</c:v>
                </c:pt>
                <c:pt idx="14">
                  <c:v>103.98864747019884</c:v>
                </c:pt>
                <c:pt idx="15">
                  <c:v>103.87507311811989</c:v>
                </c:pt>
                <c:pt idx="16">
                  <c:v>103.78777900171936</c:v>
                </c:pt>
                <c:pt idx="17">
                  <c:v>103.61495438371227</c:v>
                </c:pt>
                <c:pt idx="18">
                  <c:v>103.46748393548563</c:v>
                </c:pt>
                <c:pt idx="19">
                  <c:v>103.34576393596979</c:v>
                </c:pt>
                <c:pt idx="20">
                  <c:v>103.25019685782941</c:v>
                </c:pt>
                <c:pt idx="21">
                  <c:v>103.06896997389079</c:v>
                </c:pt>
                <c:pt idx="22">
                  <c:v>102.91296593455078</c:v>
                </c:pt>
                <c:pt idx="23">
                  <c:v>102.78257896616209</c:v>
                </c:pt>
                <c:pt idx="24">
                  <c:v>102.67820945673049</c:v>
                </c:pt>
                <c:pt idx="25">
                  <c:v>102.48804256184071</c:v>
                </c:pt>
                <c:pt idx="26">
                  <c:v>102.32295878155608</c:v>
                </c:pt>
                <c:pt idx="27">
                  <c:v>102.1833501582867</c:v>
                </c:pt>
                <c:pt idx="28">
                  <c:v>102.06961486196124</c:v>
                </c:pt>
                <c:pt idx="29">
                  <c:v>101.86993579541941</c:v>
                </c:pt>
                <c:pt idx="30">
                  <c:v>101.69519117076972</c:v>
                </c:pt>
                <c:pt idx="31">
                  <c:v>101.5457707067073</c:v>
                </c:pt>
                <c:pt idx="32">
                  <c:v>101.42207021312677</c:v>
                </c:pt>
                <c:pt idx="33">
                  <c:v>101.21227019594717</c:v>
                </c:pt>
                <c:pt idx="34">
                  <c:v>101.02724643289305</c:v>
                </c:pt>
                <c:pt idx="35">
                  <c:v>100.86738617022679</c:v>
                </c:pt>
                <c:pt idx="36">
                  <c:v>100.73308270676692</c:v>
                </c:pt>
                <c:pt idx="37">
                  <c:v>100.47599236641221</c:v>
                </c:pt>
                <c:pt idx="38">
                  <c:v>100.26658914728682</c:v>
                </c:pt>
                <c:pt idx="39">
                  <c:v>100.10712598425197</c:v>
                </c:pt>
                <c:pt idx="40">
                  <c:v>100.0008936090374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046-4010-9D96-0339E9275626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'10Y_bond'!$J$51:$J$91</c:f>
              <c:numCache>
                <c:formatCode>"₹"#,##0.00_);[Red]\("₹"#,##0.00\)</c:formatCode>
                <c:ptCount val="41"/>
                <c:pt idx="0">
                  <c:v>104.15007884256158</c:v>
                </c:pt>
                <c:pt idx="1">
                  <c:v>104.03258954248247</c:v>
                </c:pt>
                <c:pt idx="2">
                  <c:v>103.9421193496342</c:v>
                </c:pt>
                <c:pt idx="3">
                  <c:v>103.87910345179567</c:v>
                </c:pt>
                <c:pt idx="4">
                  <c:v>103.84398404617065</c:v>
                </c:pt>
                <c:pt idx="5">
                  <c:v>103.72156457895348</c:v>
                </c:pt>
                <c:pt idx="6">
                  <c:v>103.62608481040388</c:v>
                </c:pt>
                <c:pt idx="7">
                  <c:v>103.55797864929339</c:v>
                </c:pt>
                <c:pt idx="8">
                  <c:v>103.51768699321792</c:v>
                </c:pt>
                <c:pt idx="9">
                  <c:v>103.39001196783157</c:v>
                </c:pt>
                <c:pt idx="10">
                  <c:v>103.28919199158435</c:v>
                </c:pt>
                <c:pt idx="11">
                  <c:v>103.21565960982595</c:v>
                </c:pt>
                <c:pt idx="12">
                  <c:v>103.16985433477032</c:v>
                </c:pt>
                <c:pt idx="13">
                  <c:v>103.03657688437563</c:v>
                </c:pt>
                <c:pt idx="14">
                  <c:v>102.93006424672272</c:v>
                </c:pt>
                <c:pt idx="15">
                  <c:v>102.85074751375366</c:v>
                </c:pt>
                <c:pt idx="16">
                  <c:v>102.79906472086518</c:v>
                </c:pt>
                <c:pt idx="17">
                  <c:v>102.65981508541158</c:v>
                </c:pt>
                <c:pt idx="18">
                  <c:v>102.54723407070024</c:v>
                </c:pt>
                <c:pt idx="19">
                  <c:v>102.4617512193406</c:v>
                </c:pt>
                <c:pt idx="20">
                  <c:v>102.40380299244227</c:v>
                </c:pt>
                <c:pt idx="21">
                  <c:v>102.25818700771593</c:v>
                </c:pt>
                <c:pt idx="22">
                  <c:v>102.13913710306028</c:v>
                </c:pt>
                <c:pt idx="23">
                  <c:v>102.04708116949631</c:v>
                </c:pt>
                <c:pt idx="24">
                  <c:v>101.98245398994348</c:v>
                </c:pt>
                <c:pt idx="25">
                  <c:v>101.83005147689234</c:v>
                </c:pt>
                <c:pt idx="26">
                  <c:v>101.70410573555606</c:v>
                </c:pt>
                <c:pt idx="27">
                  <c:v>101.60504289636226</c:v>
                </c:pt>
                <c:pt idx="28">
                  <c:v>101.53329595327975</c:v>
                </c:pt>
                <c:pt idx="29">
                  <c:v>101.37365900103441</c:v>
                </c:pt>
                <c:pt idx="30">
                  <c:v>101.24036229779658</c:v>
                </c:pt>
                <c:pt idx="31">
                  <c:v>101.13383009720135</c:v>
                </c:pt>
                <c:pt idx="32">
                  <c:v>101.05449348619621</c:v>
                </c:pt>
                <c:pt idx="33">
                  <c:v>100.88714462176986</c:v>
                </c:pt>
                <c:pt idx="34">
                  <c:v>100.74601179314496</c:v>
                </c:pt>
                <c:pt idx="35">
                  <c:v>100.63151725329585</c:v>
                </c:pt>
                <c:pt idx="36">
                  <c:v>100.54409005628519</c:v>
                </c:pt>
                <c:pt idx="37">
                  <c:v>100.3298213434969</c:v>
                </c:pt>
                <c:pt idx="38">
                  <c:v>100.16605033881899</c:v>
                </c:pt>
                <c:pt idx="39">
                  <c:v>100.0552361042794</c:v>
                </c:pt>
                <c:pt idx="40">
                  <c:v>100.00029837955634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046-4010-9D96-0339E9275626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'10Y_bond'!$K$51:$K$91</c:f>
              <c:numCache>
                <c:formatCode>"₹"#,##0.00_);[Red]\("₹"#,##0.00\)</c:formatCode>
                <c:ptCount val="41"/>
                <c:pt idx="0">
                  <c:v>102.69381125166852</c:v>
                </c:pt>
                <c:pt idx="1">
                  <c:v>102.60177558831084</c:v>
                </c:pt>
                <c:pt idx="2">
                  <c:v>102.53798006422278</c:v>
                </c:pt>
                <c:pt idx="3">
                  <c:v>102.50289298367166</c:v>
                </c:pt>
                <c:pt idx="4">
                  <c:v>102.49699041678198</c:v>
                </c:pt>
                <c:pt idx="5">
                  <c:v>102.40169088719483</c:v>
                </c:pt>
                <c:pt idx="6">
                  <c:v>102.33457737241039</c:v>
                </c:pt>
                <c:pt idx="7">
                  <c:v>102.29611727915373</c:v>
                </c:pt>
                <c:pt idx="8">
                  <c:v>102.28678576512317</c:v>
                </c:pt>
                <c:pt idx="9">
                  <c:v>102.18800042640294</c:v>
                </c:pt>
                <c:pt idx="10">
                  <c:v>102.11734329755478</c:v>
                </c:pt>
                <c:pt idx="11">
                  <c:v>102.07528082672859</c:v>
                </c:pt>
                <c:pt idx="12">
                  <c:v>102.06228719715155</c:v>
                </c:pt>
                <c:pt idx="13">
                  <c:v>101.95977901427719</c:v>
                </c:pt>
                <c:pt idx="14">
                  <c:v>101.88533730560897</c:v>
                </c:pt>
                <c:pt idx="15">
                  <c:v>101.83942749553852</c:v>
                </c:pt>
                <c:pt idx="16">
                  <c:v>101.82252272655785</c:v>
                </c:pt>
                <c:pt idx="17">
                  <c:v>101.71603854612691</c:v>
                </c:pt>
                <c:pt idx="18">
                  <c:v>101.63755490621085</c:v>
                </c:pt>
                <c:pt idx="19">
                  <c:v>101.58753613782754</c:v>
                </c:pt>
                <c:pt idx="20">
                  <c:v>101.56645427196381</c:v>
                </c:pt>
                <c:pt idx="21">
                  <c:v>101.45572372614238</c:v>
                </c:pt>
                <c:pt idx="22">
                  <c:v>101.37292330365366</c:v>
                </c:pt>
                <c:pt idx="23">
                  <c:v>101.3185161677922</c:v>
                </c:pt>
                <c:pt idx="24">
                  <c:v>101.29297316245734</c:v>
                </c:pt>
                <c:pt idx="25">
                  <c:v>101.17770749839893</c:v>
                </c:pt>
                <c:pt idx="26">
                  <c:v>101.09029675212258</c:v>
                </c:pt>
                <c:pt idx="27">
                  <c:v>101.03120283979445</c:v>
                </c:pt>
                <c:pt idx="28">
                  <c:v>101.00089533750446</c:v>
                </c:pt>
                <c:pt idx="29">
                  <c:v>100.88078616716891</c:v>
                </c:pt>
                <c:pt idx="30">
                  <c:v>100.78845159508738</c:v>
                </c:pt>
                <c:pt idx="31">
                  <c:v>100.72435220549288</c:v>
                </c:pt>
                <c:pt idx="32">
                  <c:v>100.68895622045477</c:v>
                </c:pt>
                <c:pt idx="33">
                  <c:v>100.56367418541525</c:v>
                </c:pt>
                <c:pt idx="34">
                  <c:v>100.46608096737378</c:v>
                </c:pt>
                <c:pt idx="35">
                  <c:v>100.39663572805878</c:v>
                </c:pt>
                <c:pt idx="36">
                  <c:v>100.35580524344569</c:v>
                </c:pt>
                <c:pt idx="37">
                  <c:v>100.18406755470981</c:v>
                </c:pt>
                <c:pt idx="38">
                  <c:v>100.06570599613153</c:v>
                </c:pt>
                <c:pt idx="39">
                  <c:v>100.00339724680434</c:v>
                </c:pt>
                <c:pt idx="40">
                  <c:v>99.999703156687701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046-4010-9D96-0339E9275626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'10Y_bond'!$L$51:$L$91</c:f>
              <c:numCache>
                <c:formatCode>"₹"#,##0.00_);[Red]\("₹"#,##0.00\)</c:formatCode>
                <c:ptCount val="41"/>
                <c:pt idx="0">
                  <c:v>101.26424467736787</c:v>
                </c:pt>
                <c:pt idx="1">
                  <c:v>101.19666332698625</c:v>
                </c:pt>
                <c:pt idx="2">
                  <c:v>101.15854919082778</c:v>
                </c:pt>
                <c:pt idx="3">
                  <c:v>101.15040493610296</c:v>
                </c:pt>
                <c:pt idx="4">
                  <c:v>101.17274180478361</c:v>
                </c:pt>
                <c:pt idx="5">
                  <c:v>101.10359955036229</c:v>
                </c:pt>
                <c:pt idx="6">
                  <c:v>101.0638978834435</c:v>
                </c:pt>
                <c:pt idx="7">
                  <c:v>101.05413901702524</c:v>
                </c:pt>
                <c:pt idx="8">
                  <c:v>101.07483373111847</c:v>
                </c:pt>
                <c:pt idx="9">
                  <c:v>101.00402130937464</c:v>
                </c:pt>
                <c:pt idx="10">
                  <c:v>100.96262098454235</c:v>
                </c:pt>
                <c:pt idx="11">
                  <c:v>100.95113448361205</c:v>
                </c:pt>
                <c:pt idx="12">
                  <c:v>100.97007209229676</c:v>
                </c:pt>
                <c:pt idx="13">
                  <c:v>100.89747259151788</c:v>
                </c:pt>
                <c:pt idx="14">
                  <c:v>100.85425470271809</c:v>
                </c:pt>
                <c:pt idx="15">
                  <c:v>100.84091963285995</c:v>
                </c:pt>
                <c:pt idx="16">
                  <c:v>100.85797713875755</c:v>
                </c:pt>
                <c:pt idx="17">
                  <c:v>100.78346546341113</c:v>
                </c:pt>
                <c:pt idx="18">
                  <c:v>100.73830278116617</c:v>
                </c:pt>
                <c:pt idx="19">
                  <c:v>100.72298974255521</c:v>
                </c:pt>
                <c:pt idx="20">
                  <c:v>100.73803553847057</c:v>
                </c:pt>
                <c:pt idx="21">
                  <c:v>100.66147783633691</c:v>
                </c:pt>
                <c:pt idx="22">
                  <c:v>100.61423422510558</c:v>
                </c:pt>
                <c:pt idx="23">
                  <c:v>100.59680475992913</c:v>
                </c:pt>
                <c:pt idx="24">
                  <c:v>100.6096980261635</c:v>
                </c:pt>
                <c:pt idx="25">
                  <c:v>100.53095107536748</c:v>
                </c:pt>
                <c:pt idx="26">
                  <c:v>100.48148087012075</c:v>
                </c:pt>
                <c:pt idx="27">
                  <c:v>100.46178682851925</c:v>
                </c:pt>
                <c:pt idx="28">
                  <c:v>100.47237688799495</c:v>
                </c:pt>
                <c:pt idx="29">
                  <c:v>100.39128744113022</c:v>
                </c:pt>
                <c:pt idx="30">
                  <c:v>100.33943478028701</c:v>
                </c:pt>
                <c:pt idx="31">
                  <c:v>100.31731764191066</c:v>
                </c:pt>
                <c:pt idx="32">
                  <c:v>100.32544327015461</c:v>
                </c:pt>
                <c:pt idx="33">
                  <c:v>100.24184735249632</c:v>
                </c:pt>
                <c:pt idx="34">
                  <c:v>100.18744546416488</c:v>
                </c:pt>
                <c:pt idx="35">
                  <c:v>100.16273561223946</c:v>
                </c:pt>
                <c:pt idx="36">
                  <c:v>100.16822429906541</c:v>
                </c:pt>
                <c:pt idx="37">
                  <c:v>100.03872921615202</c:v>
                </c:pt>
                <c:pt idx="38">
                  <c:v>99.965555555555568</c:v>
                </c:pt>
                <c:pt idx="39">
                  <c:v>99.951609336609337</c:v>
                </c:pt>
                <c:pt idx="40">
                  <c:v>99.999107940431344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046-4010-9D96-0339E9275626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'10Y_bond'!$M$51:$M$91</c:f>
              <c:numCache>
                <c:formatCode>"₹"#,##0.00_);[Red]\("₹"#,##0.00\)</c:formatCode>
                <c:ptCount val="41"/>
                <c:pt idx="0">
                  <c:v>99.860817886920501</c:v>
                </c:pt>
                <c:pt idx="1">
                  <c:v>99.816722866919818</c:v>
                </c:pt>
                <c:pt idx="2">
                  <c:v>99.803327257497273</c:v>
                </c:pt>
                <c:pt idx="3">
                  <c:v>99.821169325332519</c:v>
                </c:pt>
                <c:pt idx="4">
                  <c:v>99.870796774778796</c:v>
                </c:pt>
                <c:pt idx="5">
                  <c:v>99.826876719141652</c:v>
                </c:pt>
                <c:pt idx="6">
                  <c:v>99.813659141812153</c:v>
                </c:pt>
                <c:pt idx="7">
                  <c:v>99.831682363257826</c:v>
                </c:pt>
                <c:pt idx="8">
                  <c:v>99.881494142562872</c:v>
                </c:pt>
                <c:pt idx="9">
                  <c:v>99.837761648723472</c:v>
                </c:pt>
                <c:pt idx="10">
                  <c:v>99.824734921797713</c:v>
                </c:pt>
                <c:pt idx="11">
                  <c:v>99.842952339913765</c:v>
                </c:pt>
                <c:pt idx="12">
                  <c:v>99.892961720827429</c:v>
                </c:pt>
                <c:pt idx="13">
                  <c:v>99.849430293235159</c:v>
                </c:pt>
                <c:pt idx="14">
                  <c:v>99.836608157942237</c:v>
                </c:pt>
                <c:pt idx="15">
                  <c:v>99.855033754888908</c:v>
                </c:pt>
                <c:pt idx="16">
                  <c:v>99.905254964726993</c:v>
                </c:pt>
                <c:pt idx="17">
                  <c:v>99.861939080151714</c:v>
                </c:pt>
                <c:pt idx="18">
                  <c:v>99.849336267089143</c:v>
                </c:pt>
                <c:pt idx="19">
                  <c:v>99.867985031742279</c:v>
                </c:pt>
                <c:pt idx="20">
                  <c:v>99.918433322187369</c:v>
                </c:pt>
                <c:pt idx="21">
                  <c:v>99.875348499726258</c:v>
                </c:pt>
                <c:pt idx="22">
                  <c:v>99.862980800094661</c:v>
                </c:pt>
                <c:pt idx="23">
                  <c:v>99.881868800529077</c:v>
                </c:pt>
                <c:pt idx="24">
                  <c:v>99.932560521384858</c:v>
                </c:pt>
                <c:pt idx="25">
                  <c:v>99.889723397510167</c:v>
                </c:pt>
                <c:pt idx="26">
                  <c:v>99.877607739476545</c:v>
                </c:pt>
                <c:pt idx="27">
                  <c:v>99.89675220066853</c:v>
                </c:pt>
                <c:pt idx="28">
                  <c:v>99.947704878924583</c:v>
                </c:pt>
                <c:pt idx="29">
                  <c:v>99.905133287934504</c:v>
                </c:pt>
                <c:pt idx="30">
                  <c:v>99.893287818493945</c:v>
                </c:pt>
                <c:pt idx="31">
                  <c:v>99.912707205618034</c:v>
                </c:pt>
                <c:pt idx="32">
                  <c:v>99.96393963020715</c:v>
                </c:pt>
                <c:pt idx="33">
                  <c:v>99.921652690469429</c:v>
                </c:pt>
                <c:pt idx="34">
                  <c:v>99.910096863200593</c:v>
                </c:pt>
                <c:pt idx="35">
                  <c:v>99.929810970923924</c:v>
                </c:pt>
                <c:pt idx="36">
                  <c:v>99.981343283582092</c:v>
                </c:pt>
                <c:pt idx="37">
                  <c:v>99.893804554079694</c:v>
                </c:pt>
                <c:pt idx="38">
                  <c:v>99.865598455598459</c:v>
                </c:pt>
                <c:pt idx="39">
                  <c:v>99.899872298624757</c:v>
                </c:pt>
                <c:pt idx="40">
                  <c:v>99.998512730787184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046-4010-9D96-0339E9275626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'10Y_bond'!$N$51:$N$91</c:f>
              <c:numCache>
                <c:formatCode>"₹"#,##0.00_);[Red]\("₹"#,##0.00\)</c:formatCode>
                <c:ptCount val="41"/>
                <c:pt idx="0">
                  <c:v>98.48298268159246</c:v>
                </c:pt>
                <c:pt idx="1">
                  <c:v>98.461436400330982</c:v>
                </c:pt>
                <c:pt idx="2">
                  <c:v>98.471825972420731</c:v>
                </c:pt>
                <c:pt idx="3">
                  <c:v>98.514726489683028</c:v>
                </c:pt>
                <c:pt idx="4">
                  <c:v>98.590723400030299</c:v>
                </c:pt>
                <c:pt idx="5">
                  <c:v>98.571117283176633</c:v>
                </c:pt>
                <c:pt idx="6">
                  <c:v>98.583481957606494</c:v>
                </c:pt>
                <c:pt idx="7">
                  <c:v>98.628393144293668</c:v>
                </c:pt>
                <c:pt idx="8">
                  <c:v>98.706436931632538</c:v>
                </c:pt>
                <c:pt idx="9">
                  <c:v>98.68891455135288</c:v>
                </c:pt>
                <c:pt idx="10">
                  <c:v>98.703400485696022</c:v>
                </c:pt>
                <c:pt idx="11">
                  <c:v>98.750471131345492</c:v>
                </c:pt>
                <c:pt idx="12">
                  <c:v>98.830713264573376</c:v>
                </c:pt>
                <c:pt idx="13">
                  <c:v>98.815428817374141</c:v>
                </c:pt>
                <c:pt idx="14">
                  <c:v>98.832192984864179</c:v>
                </c:pt>
                <c:pt idx="15">
                  <c:v>98.881582889439144</c:v>
                </c:pt>
                <c:pt idx="16">
                  <c:v>98.964186046151809</c:v>
                </c:pt>
                <c:pt idx="17">
                  <c:v>98.951305139080986</c:v>
                </c:pt>
                <c:pt idx="18">
                  <c:v>98.970516128970772</c:v>
                </c:pt>
                <c:pt idx="19">
                  <c:v>99.022396917631752</c:v>
                </c:pt>
                <c:pt idx="20">
                  <c:v>99.10753581356704</c:v>
                </c:pt>
                <c:pt idx="21">
                  <c:v>99.097236308594134</c:v>
                </c:pt>
                <c:pt idx="22">
                  <c:v>99.119075185741252</c:v>
                </c:pt>
                <c:pt idx="23">
                  <c:v>99.173631183910601</c:v>
                </c:pt>
                <c:pt idx="24">
                  <c:v>99.261493463771004</c:v>
                </c:pt>
                <c:pt idx="25">
                  <c:v>99.253966384651264</c:v>
                </c:pt>
                <c:pt idx="26">
                  <c:v>99.278627612712739</c:v>
                </c:pt>
                <c:pt idx="27">
                  <c:v>99.336056785894087</c:v>
                </c:pt>
                <c:pt idx="28">
                  <c:v>99.426843980090084</c:v>
                </c:pt>
                <c:pt idx="29">
                  <c:v>99.422294486336611</c:v>
                </c:pt>
                <c:pt idx="30">
                  <c:v>99.44998691928015</c:v>
                </c:pt>
                <c:pt idx="31">
                  <c:v>99.51050188242435</c:v>
                </c:pt>
                <c:pt idx="32">
                  <c:v>99.604430434616745</c:v>
                </c:pt>
                <c:pt idx="33">
                  <c:v>99.603078867546671</c:v>
                </c:pt>
                <c:pt idx="34">
                  <c:v>99.634026814533513</c:v>
                </c:pt>
                <c:pt idx="35">
                  <c:v>99.697855916097851</c:v>
                </c:pt>
                <c:pt idx="36">
                  <c:v>99.795158286778403</c:v>
                </c:pt>
                <c:pt idx="37">
                  <c:v>99.749291804831827</c:v>
                </c:pt>
                <c:pt idx="38">
                  <c:v>99.765834136933478</c:v>
                </c:pt>
                <c:pt idx="39">
                  <c:v>99.848186057928331</c:v>
                </c:pt>
                <c:pt idx="40">
                  <c:v>99.997917527755106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046-4010-9D96-0339E9275626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'10Y_bond'!$O$51:$O$91</c:f>
              <c:numCache>
                <c:formatCode>"₹"#,##0.00_);[Red]\("₹"#,##0.00\)</c:formatCode>
                <c:ptCount val="41"/>
                <c:pt idx="0">
                  <c:v>97.130203567678947</c:v>
                </c:pt>
                <c:pt idx="1">
                  <c:v>97.130297903438716</c:v>
                </c:pt>
                <c:pt idx="2">
                  <c:v>97.163567951344817</c:v>
                </c:pt>
                <c:pt idx="3">
                  <c:v>97.230626842336676</c:v>
                </c:pt>
                <c:pt idx="4">
                  <c:v>97.332099038822548</c:v>
                </c:pt>
                <c:pt idx="5">
                  <c:v>97.335924669312007</c:v>
                </c:pt>
                <c:pt idx="6">
                  <c:v>97.372994971198239</c:v>
                </c:pt>
                <c:pt idx="7">
                  <c:v>97.443924349878657</c:v>
                </c:pt>
                <c:pt idx="8">
                  <c:v>97.54933856577307</c:v>
                </c:pt>
                <c:pt idx="9">
                  <c:v>97.557179069391665</c:v>
                </c:pt>
                <c:pt idx="10">
                  <c:v>97.59833844456054</c:v>
                </c:pt>
                <c:pt idx="11">
                  <c:v>97.673432467993806</c:v>
                </c:pt>
                <c:pt idx="12">
                  <c:v>97.783088296771822</c:v>
                </c:pt>
                <c:pt idx="13">
                  <c:v>97.795248803877385</c:v>
                </c:pt>
                <c:pt idx="14">
                  <c:v>97.840808021898368</c:v>
                </c:pt>
                <c:pt idx="15">
                  <c:v>97.920383203085706</c:v>
                </c:pt>
                <c:pt idx="16">
                  <c:v>98.034603007326496</c:v>
                </c:pt>
                <c:pt idx="17">
                  <c:v>98.051411838184009</c:v>
                </c:pt>
                <c:pt idx="18">
                  <c:v>98.101705287113859</c:v>
                </c:pt>
                <c:pt idx="19">
                  <c:v>98.186102194044608</c:v>
                </c:pt>
                <c:pt idx="20">
                  <c:v>98.305232835883317</c:v>
                </c:pt>
                <c:pt idx="21">
                  <c:v>98.327043263097934</c:v>
                </c:pt>
                <c:pt idx="22">
                  <c:v>98.382430744485731</c:v>
                </c:pt>
                <c:pt idx="23">
                  <c:v>98.472015828316373</c:v>
                </c:pt>
                <c:pt idx="24">
                  <c:v>98.596430531410448</c:v>
                </c:pt>
                <c:pt idx="25">
                  <c:v>98.623622676305331</c:v>
                </c:pt>
                <c:pt idx="26">
                  <c:v>98.684491336617882</c:v>
                </c:pt>
                <c:pt idx="27">
                  <c:v>98.779658898792789</c:v>
                </c:pt>
                <c:pt idx="28">
                  <c:v>98.909759251797652</c:v>
                </c:pt>
                <c:pt idx="29">
                  <c:v>98.942742124916492</c:v>
                </c:pt>
                <c:pt idx="30">
                  <c:v>99.009508533752069</c:v>
                </c:pt>
                <c:pt idx="31">
                  <c:v>99.110682842625451</c:v>
                </c:pt>
                <c:pt idx="32">
                  <c:v>99.24690095493429</c:v>
                </c:pt>
                <c:pt idx="33">
                  <c:v>99.2861146516221</c:v>
                </c:pt>
                <c:pt idx="34">
                  <c:v>99.35922703786845</c:v>
                </c:pt>
                <c:pt idx="35">
                  <c:v>99.466864606189347</c:v>
                </c:pt>
                <c:pt idx="36">
                  <c:v>99.609665427509299</c:v>
                </c:pt>
                <c:pt idx="37">
                  <c:v>99.605189214758767</c:v>
                </c:pt>
                <c:pt idx="38">
                  <c:v>99.666262042389206</c:v>
                </c:pt>
                <c:pt idx="39">
                  <c:v>99.796550539744857</c:v>
                </c:pt>
                <c:pt idx="40">
                  <c:v>99.997322331334985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046-4010-9D96-0339E9275626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'10Y_bond'!$P$51:$P$91</c:f>
              <c:numCache>
                <c:formatCode>"₹"#,##0.00_);[Red]\("₹"#,##0.00\)</c:formatCode>
                <c:ptCount val="41"/>
                <c:pt idx="0">
                  <c:v>95.801957436465955</c:v>
                </c:pt>
                <c:pt idx="1">
                  <c:v>95.82281284466616</c:v>
                </c:pt>
                <c:pt idx="2">
                  <c:v>95.878086452157063</c:v>
                </c:pt>
                <c:pt idx="3">
                  <c:v>95.968430630508081</c:v>
                </c:pt>
                <c:pt idx="4">
                  <c:v>96.094510116510307</c:v>
                </c:pt>
                <c:pt idx="5">
                  <c:v>96.120910644877753</c:v>
                </c:pt>
                <c:pt idx="6">
                  <c:v>96.181834476196769</c:v>
                </c:pt>
                <c:pt idx="7">
                  <c:v>96.277935974199096</c:v>
                </c:pt>
                <c:pt idx="8">
                  <c:v>96.409881905598127</c:v>
                </c:pt>
                <c:pt idx="9">
                  <c:v>96.442260073505835</c:v>
                </c:pt>
                <c:pt idx="10">
                  <c:v>96.509274846111566</c:v>
                </c:pt>
                <c:pt idx="11">
                  <c:v>96.61158273469799</c:v>
                </c:pt>
                <c:pt idx="12">
                  <c:v>96.749852694234789</c:v>
                </c:pt>
                <c:pt idx="13">
                  <c:v>96.788674757566909</c:v>
                </c:pt>
                <c:pt idx="14">
                  <c:v>96.862255564879717</c:v>
                </c:pt>
                <c:pt idx="15">
                  <c:v>96.971253942515816</c:v>
                </c:pt>
                <c:pt idx="16">
                  <c:v>97.116341204385094</c:v>
                </c:pt>
                <c:pt idx="17">
                  <c:v>97.162109786984772</c:v>
                </c:pt>
                <c:pt idx="18">
                  <c:v>97.242768779711767</c:v>
                </c:pt>
                <c:pt idx="19">
                  <c:v>97.358979504543427</c:v>
                </c:pt>
                <c:pt idx="20">
                  <c:v>97.511415818327137</c:v>
                </c:pt>
                <c:pt idx="21">
                  <c:v>97.564672748697205</c:v>
                </c:pt>
                <c:pt idx="22">
                  <c:v>97.652962025300724</c:v>
                </c:pt>
                <c:pt idx="23">
                  <c:v>97.776947660409178</c:v>
                </c:pt>
                <c:pt idx="24">
                  <c:v>97.93730625215666</c:v>
                </c:pt>
                <c:pt idx="25">
                  <c:v>97.998635621423233</c:v>
                </c:pt>
                <c:pt idx="26">
                  <c:v>98.095150344045635</c:v>
                </c:pt>
                <c:pt idx="27">
                  <c:v>98.22751733243247</c:v>
                </c:pt>
                <c:pt idx="28">
                  <c:v>98.396416139824893</c:v>
                </c:pt>
                <c:pt idx="29">
                  <c:v>98.466447598221848</c:v>
                </c:pt>
                <c:pt idx="30">
                  <c:v>98.571829351652639</c:v>
                </c:pt>
                <c:pt idx="31">
                  <c:v>98.713231438873578</c:v>
                </c:pt>
                <c:pt idx="32">
                  <c:v>98.891336598731243</c:v>
                </c:pt>
                <c:pt idx="33">
                  <c:v>98.970748909210812</c:v>
                </c:pt>
                <c:pt idx="34">
                  <c:v>99.085689321852982</c:v>
                </c:pt>
                <c:pt idx="35">
                  <c:v>99.236831245617097</c:v>
                </c:pt>
                <c:pt idx="36">
                  <c:v>99.424860853432278</c:v>
                </c:pt>
                <c:pt idx="37">
                  <c:v>99.461495040151163</c:v>
                </c:pt>
                <c:pt idx="38">
                  <c:v>99.566881616939369</c:v>
                </c:pt>
                <c:pt idx="39">
                  <c:v>99.744965669445804</c:v>
                </c:pt>
                <c:pt idx="40">
                  <c:v>99.996727141526733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046-4010-9D96-0339E9275626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'10Y_bond'!$Q$51:$Q$91</c:f>
              <c:numCache>
                <c:formatCode>"₹"#,##0.00_);[Red]\("₹"#,##0.00\)</c:formatCode>
                <c:ptCount val="41"/>
                <c:pt idx="0">
                  <c:v>94.497733252867988</c:v>
                </c:pt>
                <c:pt idx="1">
                  <c:v>94.538497900630347</c:v>
                </c:pt>
                <c:pt idx="2">
                  <c:v>94.614925116435003</c:v>
                </c:pt>
                <c:pt idx="3">
                  <c:v>94.727707700832909</c:v>
                </c:pt>
                <c:pt idx="4">
                  <c:v>94.87755191309742</c:v>
                </c:pt>
                <c:pt idx="5">
                  <c:v>94.925695125879358</c:v>
                </c:pt>
                <c:pt idx="6">
                  <c:v>95.009644246743079</c:v>
                </c:pt>
                <c:pt idx="7">
                  <c:v>95.13009486084151</c:v>
                </c:pt>
                <c:pt idx="8">
                  <c:v>95.287756066145221</c:v>
                </c:pt>
                <c:pt idx="9">
                  <c:v>95.343868129148319</c:v>
                </c:pt>
                <c:pt idx="10">
                  <c:v>95.43594090747581</c:v>
                </c:pt>
                <c:pt idx="11">
                  <c:v>95.564672993650802</c:v>
                </c:pt>
                <c:pt idx="12">
                  <c:v>95.730776551436833</c:v>
                </c:pt>
                <c:pt idx="13">
                  <c:v>95.795494972678782</c:v>
                </c:pt>
                <c:pt idx="14">
                  <c:v>95.896341301067153</c:v>
                </c:pt>
                <c:pt idx="15">
                  <c:v>96.034017377084851</c:v>
                </c:pt>
                <c:pt idx="16">
                  <c:v>96.209238675551802</c:v>
                </c:pt>
                <c:pt idx="17">
                  <c:v>96.283251963691683</c:v>
                </c:pt>
                <c:pt idx="18">
                  <c:v>96.393573726145803</c:v>
                </c:pt>
                <c:pt idx="19">
                  <c:v>96.540909311193602</c:v>
                </c:pt>
                <c:pt idx="20">
                  <c:v>96.725977769595957</c:v>
                </c:pt>
                <c:pt idx="21">
                  <c:v>96.810029513985626</c:v>
                </c:pt>
                <c:pt idx="22">
                  <c:v>96.93058474523076</c:v>
                </c:pt>
                <c:pt idx="23">
                  <c:v>97.088352600031072</c:v>
                </c:pt>
                <c:pt idx="24">
                  <c:v>97.284055991163626</c:v>
                </c:pt>
                <c:pt idx="25">
                  <c:v>97.378949268303074</c:v>
                </c:pt>
                <c:pt idx="26">
                  <c:v>97.510556645842485</c:v>
                </c:pt>
                <c:pt idx="27">
                  <c:v>97.679591351975532</c:v>
                </c:pt>
                <c:pt idx="28">
                  <c:v>97.886780470456728</c:v>
                </c:pt>
                <c:pt idx="29">
                  <c:v>97.993382602965923</c:v>
                </c:pt>
                <c:pt idx="30">
                  <c:v>98.136926298503184</c:v>
                </c:pt>
                <c:pt idx="31">
                  <c:v>98.318129204075532</c:v>
                </c:pt>
                <c:pt idx="32">
                  <c:v>98.537722908093272</c:v>
                </c:pt>
                <c:pt idx="33">
                  <c:v>98.656970604401806</c:v>
                </c:pt>
                <c:pt idx="34">
                  <c:v>98.81340552337673</c:v>
                </c:pt>
                <c:pt idx="35">
                  <c:v>99.007750084343542</c:v>
                </c:pt>
                <c:pt idx="36">
                  <c:v>99.240740740740748</c:v>
                </c:pt>
                <c:pt idx="37">
                  <c:v>99.318207547169806</c:v>
                </c:pt>
                <c:pt idx="38">
                  <c:v>99.467692307692303</c:v>
                </c:pt>
                <c:pt idx="39">
                  <c:v>99.693431372549014</c:v>
                </c:pt>
                <c:pt idx="40">
                  <c:v>99.996131958330267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046-4010-9D96-0339E9275626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'10Y_bond'!$R$51:$R$91</c:f>
              <c:numCache>
                <c:formatCode>"₹"#,##0.00_);[Red]\("₹"#,##0.00\)</c:formatCode>
                <c:ptCount val="41"/>
                <c:pt idx="0">
                  <c:v>93.217031752491224</c:v>
                </c:pt>
                <c:pt idx="1">
                  <c:v>93.276880679694059</c:v>
                </c:pt>
                <c:pt idx="2">
                  <c:v>93.37363771776532</c:v>
                </c:pt>
                <c:pt idx="3">
                  <c:v>93.50803727080006</c:v>
                </c:pt>
                <c:pt idx="4">
                  <c:v>93.680828356195505</c:v>
                </c:pt>
                <c:pt idx="5">
                  <c:v>93.749905989962457</c:v>
                </c:pt>
                <c:pt idx="6">
                  <c:v>93.856075369027593</c:v>
                </c:pt>
                <c:pt idx="7">
                  <c:v>94.000074551476231</c:v>
                </c:pt>
                <c:pt idx="8">
                  <c:v>94.182656281403553</c:v>
                </c:pt>
                <c:pt idx="9">
                  <c:v>94.261719375672854</c:v>
                </c:pt>
                <c:pt idx="10">
                  <c:v>94.378072907693365</c:v>
                </c:pt>
                <c:pt idx="11">
                  <c:v>94.532458889167813</c:v>
                </c:pt>
                <c:pt idx="12">
                  <c:v>94.725634096478643</c:v>
                </c:pt>
                <c:pt idx="13">
                  <c:v>94.815501459011514</c:v>
                </c:pt>
                <c:pt idx="14">
                  <c:v>94.942874244529733</c:v>
                </c:pt>
                <c:pt idx="15">
                  <c:v>95.108498742550125</c:v>
                </c:pt>
                <c:pt idx="16">
                  <c:v>95.313136092389897</c:v>
                </c:pt>
                <c:pt idx="17">
                  <c:v>95.414693673183947</c:v>
                </c:pt>
                <c:pt idx="18">
                  <c:v>95.553989290986692</c:v>
                </c:pt>
                <c:pt idx="19">
                  <c:v>95.73177386390978</c:v>
                </c:pt>
                <c:pt idx="20">
                  <c:v>95.948813251965859</c:v>
                </c:pt>
                <c:pt idx="21">
                  <c:v>96.063019648918512</c:v>
                </c:pt>
                <c:pt idx="22">
                  <c:v>96.215215771253114</c:v>
                </c:pt>
                <c:pt idx="23">
                  <c:v>96.406157545220921</c:v>
                </c:pt>
                <c:pt idx="24">
                  <c:v>96.636615938627074</c:v>
                </c:pt>
                <c:pt idx="25">
                  <c:v>96.764508354663334</c:v>
                </c:pt>
                <c:pt idx="26">
                  <c:v>96.930662822901368</c:v>
                </c:pt>
                <c:pt idx="27">
                  <c:v>97.135840688399583</c:v>
                </c:pt>
                <c:pt idx="28">
                  <c:v>97.380818445594485</c:v>
                </c:pt>
                <c:pt idx="29">
                  <c:v>97.523519134279198</c:v>
                </c:pt>
                <c:pt idx="30">
                  <c:v>97.70477653278482</c:v>
                </c:pt>
                <c:pt idx="31">
                  <c:v>97.9253578493189</c:v>
                </c:pt>
                <c:pt idx="32">
                  <c:v>98.186045558133259</c:v>
                </c:pt>
                <c:pt idx="33">
                  <c:v>98.344768797823562</c:v>
                </c:pt>
                <c:pt idx="34">
                  <c:v>98.542367566878681</c:v>
                </c:pt>
                <c:pt idx="35">
                  <c:v>98.779615417433604</c:v>
                </c:pt>
                <c:pt idx="36">
                  <c:v>99.057301293900181</c:v>
                </c:pt>
                <c:pt idx="37">
                  <c:v>99.175325011775783</c:v>
                </c:pt>
                <c:pt idx="38">
                  <c:v>99.368693563880896</c:v>
                </c:pt>
                <c:pt idx="39">
                  <c:v>99.641947574718287</c:v>
                </c:pt>
                <c:pt idx="40">
                  <c:v>99.9955367817454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046-4010-9D96-0339E9275626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'10Y_bond'!$S$51:$S$91</c:f>
              <c:numCache>
                <c:formatCode>"₹"#,##0.00_);[Red]\("₹"#,##0.00\)</c:formatCode>
                <c:ptCount val="41"/>
                <c:pt idx="0">
                  <c:v>91.959365146878511</c:v>
                </c:pt>
                <c:pt idx="1">
                  <c:v>92.03749945286485</c:v>
                </c:pt>
                <c:pt idx="2">
                  <c:v>92.153787916643182</c:v>
                </c:pt>
                <c:pt idx="3">
                  <c:v>92.309007706061081</c:v>
                </c:pt>
                <c:pt idx="4">
                  <c:v>92.503951819216311</c:v>
                </c:pt>
                <c:pt idx="5">
                  <c:v>92.593178894024064</c:v>
                </c:pt>
                <c:pt idx="6">
                  <c:v>92.720786076920405</c:v>
                </c:pt>
                <c:pt idx="7">
                  <c:v>92.887555138168835</c:v>
                </c:pt>
                <c:pt idx="8">
                  <c:v>93.094283772030479</c:v>
                </c:pt>
                <c:pt idx="9">
                  <c:v>93.195535408240673</c:v>
                </c:pt>
                <c:pt idx="10">
                  <c:v>93.335412082660895</c:v>
                </c:pt>
                <c:pt idx="11">
                  <c:v>93.51470055457365</c:v>
                </c:pt>
                <c:pt idx="12">
                  <c:v>93.734203608881032</c:v>
                </c:pt>
                <c:pt idx="13">
                  <c:v>93.848489869651459</c:v>
                </c:pt>
                <c:pt idx="14">
                  <c:v>94.001666672883601</c:v>
                </c:pt>
                <c:pt idx="15">
                  <c:v>94.194526185956491</c:v>
                </c:pt>
                <c:pt idx="16">
                  <c:v>94.427876712027043</c:v>
                </c:pt>
                <c:pt idx="17">
                  <c:v>94.556292505820736</c:v>
                </c:pt>
                <c:pt idx="18">
                  <c:v>94.72388664868501</c:v>
                </c:pt>
                <c:pt idx="19">
                  <c:v>94.931457170375481</c:v>
                </c:pt>
                <c:pt idx="20">
                  <c:v>95.179818355837327</c:v>
                </c:pt>
                <c:pt idx="21">
                  <c:v>95.323550563428256</c:v>
                </c:pt>
                <c:pt idx="22">
                  <c:v>95.506773102453735</c:v>
                </c:pt>
                <c:pt idx="23">
                  <c:v>95.730290357485629</c:v>
                </c:pt>
                <c:pt idx="24">
                  <c:v>95.99492309772765</c:v>
                </c:pt>
                <c:pt idx="25">
                  <c:v>96.155258297874795</c:v>
                </c:pt>
                <c:pt idx="26">
                  <c:v>96.355422018339041</c:v>
                </c:pt>
                <c:pt idx="27">
                  <c:v>96.596225532313085</c:v>
                </c:pt>
                <c:pt idx="28">
                  <c:v>96.878496637936763</c:v>
                </c:pt>
                <c:pt idx="29">
                  <c:v>97.056829482014848</c:v>
                </c:pt>
                <c:pt idx="30">
                  <c:v>97.275357443158697</c:v>
                </c:pt>
                <c:pt idx="31">
                  <c:v>97.534899261826013</c:v>
                </c:pt>
                <c:pt idx="32">
                  <c:v>97.836290355523474</c:v>
                </c:pt>
                <c:pt idx="33">
                  <c:v>98.034132645622691</c:v>
                </c:pt>
                <c:pt idx="34">
                  <c:v>98.272567443663235</c:v>
                </c:pt>
                <c:pt idx="35">
                  <c:v>98.552421584618031</c:v>
                </c:pt>
                <c:pt idx="36">
                  <c:v>98.874538745387454</c:v>
                </c:pt>
                <c:pt idx="37">
                  <c:v>99.032845719661353</c:v>
                </c:pt>
                <c:pt idx="38">
                  <c:v>99.269884836852214</c:v>
                </c:pt>
                <c:pt idx="39">
                  <c:v>99.590514201762986</c:v>
                </c:pt>
                <c:pt idx="40">
                  <c:v>99.994941611772077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C046-4010-9D96-0339E9275626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'10Y_bond'!$T$51:$T$91</c:f>
              <c:numCache>
                <c:formatCode>"₹"#,##0.00_);[Red]\("₹"#,##0.00\)</c:formatCode>
                <c:ptCount val="41"/>
                <c:pt idx="0">
                  <c:v>90.724256836699496</c:v>
                </c:pt>
                <c:pt idx="1">
                  <c:v>90.819902891831958</c:v>
                </c:pt>
                <c:pt idx="2">
                  <c:v>90.954949021767177</c:v>
                </c:pt>
                <c:pt idx="3">
                  <c:v>91.130216303454048</c:v>
                </c:pt>
                <c:pt idx="4">
                  <c:v>91.346542924655665</c:v>
                </c:pt>
                <c:pt idx="5">
                  <c:v>91.455157096346809</c:v>
                </c:pt>
                <c:pt idx="6">
                  <c:v>91.603441591606241</c:v>
                </c:pt>
                <c:pt idx="7">
                  <c:v>91.792223119225767</c:v>
                </c:pt>
                <c:pt idx="8">
                  <c:v>92.022345616176054</c:v>
                </c:pt>
                <c:pt idx="9">
                  <c:v>92.145043162449909</c:v>
                </c:pt>
                <c:pt idx="10">
                  <c:v>92.307704522451445</c:v>
                </c:pt>
                <c:pt idx="11">
                  <c:v>92.51116252115385</c:v>
                </c:pt>
                <c:pt idx="12">
                  <c:v>92.756267339167195</c:v>
                </c:pt>
                <c:pt idx="13">
                  <c:v>92.894259430237909</c:v>
                </c:pt>
                <c:pt idx="14">
                  <c:v>93.072534065349373</c:v>
                </c:pt>
                <c:pt idx="15">
                  <c:v>93.291930711647765</c:v>
                </c:pt>
                <c:pt idx="16">
                  <c:v>93.553306330335573</c:v>
                </c:pt>
                <c:pt idx="17">
                  <c:v>93.707908297055667</c:v>
                </c:pt>
                <c:pt idx="18">
                  <c:v>93.903138948936487</c:v>
                </c:pt>
                <c:pt idx="19">
                  <c:v>94.139844966524137</c:v>
                </c:pt>
                <c:pt idx="20">
                  <c:v>94.418890674744432</c:v>
                </c:pt>
                <c:pt idx="21">
                  <c:v>94.591530966419739</c:v>
                </c:pt>
                <c:pt idx="22">
                  <c:v>94.805175852512122</c:v>
                </c:pt>
                <c:pt idx="23">
                  <c:v>95.060679847319889</c:v>
                </c:pt>
                <c:pt idx="24">
                  <c:v>95.358915272772464</c:v>
                </c:pt>
                <c:pt idx="25">
                  <c:v>95.551145185349142</c:v>
                </c:pt>
                <c:pt idx="26">
                  <c:v>95.784787929795243</c:v>
                </c:pt>
                <c:pt idx="27">
                  <c:v>96.06070652786407</c:v>
                </c:pt>
                <c:pt idx="28">
                  <c:v>96.379781986230896</c:v>
                </c:pt>
                <c:pt idx="29">
                  <c:v>96.593286227106475</c:v>
                </c:pt>
                <c:pt idx="30">
                  <c:v>96.848646645724699</c:v>
                </c:pt>
                <c:pt idx="31">
                  <c:v>97.146735502935059</c:v>
                </c:pt>
                <c:pt idx="32">
                  <c:v>97.488443237046752</c:v>
                </c:pt>
                <c:pt idx="33">
                  <c:v>97.725051398454909</c:v>
                </c:pt>
                <c:pt idx="34">
                  <c:v>98.003997211224117</c:v>
                </c:pt>
                <c:pt idx="35">
                  <c:v>98.326162969862125</c:v>
                </c:pt>
                <c:pt idx="36">
                  <c:v>98.692449355432785</c:v>
                </c:pt>
                <c:pt idx="37">
                  <c:v>98.890767966181315</c:v>
                </c:pt>
                <c:pt idx="38">
                  <c:v>99.171265580057536</c:v>
                </c:pt>
                <c:pt idx="39">
                  <c:v>99.539131179637778</c:v>
                </c:pt>
                <c:pt idx="40">
                  <c:v>99.99434644841017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C046-4010-9D96-0339E9275626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'10Y_bond'!$U$51:$U$91</c:f>
              <c:numCache>
                <c:formatCode>"₹"#,##0.00_);[Red]\("₹"#,##0.00\)</c:formatCode>
                <c:ptCount val="41"/>
                <c:pt idx="0">
                  <c:v>89.511241132657474</c:v>
                </c:pt>
                <c:pt idx="1">
                  <c:v>89.623649813938741</c:v>
                </c:pt>
                <c:pt idx="2">
                  <c:v>89.776703757551189</c:v>
                </c:pt>
                <c:pt idx="3">
                  <c:v>89.971269079585298</c:v>
                </c:pt>
                <c:pt idx="4">
                  <c:v>90.208230352331341</c:v>
                </c:pt>
                <c:pt idx="5">
                  <c:v>90.335491283135028</c:v>
                </c:pt>
                <c:pt idx="6">
                  <c:v>90.503713965118891</c:v>
                </c:pt>
                <c:pt idx="7">
                  <c:v>90.713771258482495</c:v>
                </c:pt>
                <c:pt idx="8">
                  <c:v>90.966554623336506</c:v>
                </c:pt>
                <c:pt idx="9">
                  <c:v>91.109974801620609</c:v>
                </c:pt>
                <c:pt idx="10">
                  <c:v>91.294701070952556</c:v>
                </c:pt>
                <c:pt idx="11">
                  <c:v>91.521613629122655</c:v>
                </c:pt>
                <c:pt idx="12">
                  <c:v>91.79161143019013</c:v>
                </c:pt>
                <c:pt idx="13">
                  <c:v>91.952612869732931</c:v>
                </c:pt>
                <c:pt idx="14">
                  <c:v>92.155295042099596</c:v>
                </c:pt>
                <c:pt idx="15">
                  <c:v>92.400546128379148</c:v>
                </c:pt>
                <c:pt idx="16">
                  <c:v>92.689273236046859</c:v>
                </c:pt>
                <c:pt idx="17">
                  <c:v>92.869403087839117</c:v>
                </c:pt>
                <c:pt idx="18">
                  <c:v>93.09162128270755</c:v>
                </c:pt>
                <c:pt idx="19">
                  <c:v>93.35682468757021</c:v>
                </c:pt>
                <c:pt idx="20">
                  <c:v>93.665929280819</c:v>
                </c:pt>
                <c:pt idx="21">
                  <c:v>93.866870845138649</c:v>
                </c:pt>
                <c:pt idx="22">
                  <c:v>94.110344232489012</c:v>
                </c:pt>
                <c:pt idx="23">
                  <c:v>94.397255759970093</c:v>
                </c:pt>
                <c:pt idx="24">
                  <c:v>94.728531057531072</c:v>
                </c:pt>
                <c:pt idx="25">
                  <c:v>94.952115765080535</c:v>
                </c:pt>
                <c:pt idx="26">
                  <c:v>95.218714801851263</c:v>
                </c:pt>
                <c:pt idx="27">
                  <c:v>95.529244766741158</c:v>
                </c:pt>
                <c:pt idx="28">
                  <c:v>95.884641790593804</c:v>
                </c:pt>
                <c:pt idx="29">
                  <c:v>96.132862237977321</c:v>
                </c:pt>
                <c:pt idx="30">
                  <c:v>96.424621981317387</c:v>
                </c:pt>
                <c:pt idx="31">
                  <c:v>96.760848806108072</c:v>
                </c:pt>
                <c:pt idx="32">
                  <c:v>97.142490268166085</c:v>
                </c:pt>
                <c:pt idx="33">
                  <c:v>97.417514400489026</c:v>
                </c:pt>
                <c:pt idx="34">
                  <c:v>97.736648992576505</c:v>
                </c:pt>
                <c:pt idx="35">
                  <c:v>98.100834000939287</c:v>
                </c:pt>
                <c:pt idx="36">
                  <c:v>98.51102941176471</c:v>
                </c:pt>
                <c:pt idx="37">
                  <c:v>98.749090056285183</c:v>
                </c:pt>
                <c:pt idx="38">
                  <c:v>99.072835249042143</c:v>
                </c:pt>
                <c:pt idx="39">
                  <c:v>99.487798434442269</c:v>
                </c:pt>
                <c:pt idx="40">
                  <c:v>99.993751291659564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C046-4010-9D96-0339E9275626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'10Y_bond'!$V$51:$V$91</c:f>
              <c:numCache>
                <c:formatCode>"₹"#,##0.00_);[Red]\("₹"#,##0.00\)</c:formatCode>
                <c:ptCount val="41"/>
                <c:pt idx="0">
                  <c:v>88.319862983890573</c:v>
                </c:pt>
                <c:pt idx="1">
                  <c:v>88.44830893389404</c:v>
                </c:pt>
                <c:pt idx="2">
                  <c:v>88.61864403768007</c:v>
                </c:pt>
                <c:pt idx="3">
                  <c:v>88.831780564815958</c:v>
                </c:pt>
                <c:pt idx="4">
                  <c:v>89.088650652440748</c:v>
                </c:pt>
                <c:pt idx="5">
                  <c:v>89.233839399336389</c:v>
                </c:pt>
                <c:pt idx="6">
                  <c:v>89.421281927673505</c:v>
                </c:pt>
                <c:pt idx="7">
                  <c:v>89.651898447946479</c:v>
                </c:pt>
                <c:pt idx="8">
                  <c:v>89.926629211160417</c:v>
                </c:pt>
                <c:pt idx="9">
                  <c:v>90.090067606668541</c:v>
                </c:pt>
                <c:pt idx="10">
                  <c:v>90.296157227766344</c:v>
                </c:pt>
                <c:pt idx="11">
                  <c:v>90.545826940558754</c:v>
                </c:pt>
                <c:pt idx="12">
                  <c:v>90.840025840164856</c:v>
                </c:pt>
                <c:pt idx="13">
                  <c:v>91.023356352660599</c:v>
                </c:pt>
                <c:pt idx="14">
                  <c:v>91.249771304867537</c:v>
                </c:pt>
                <c:pt idx="15">
                  <c:v>91.520208997506145</c:v>
                </c:pt>
                <c:pt idx="16">
                  <c:v>91.835628165779681</c:v>
                </c:pt>
                <c:pt idx="17">
                  <c:v>92.040641085791933</c:v>
                </c:pt>
                <c:pt idx="18">
                  <c:v>92.289210648907854</c:v>
                </c:pt>
                <c:pt idx="19">
                  <c:v>92.582285439578783</c:v>
                </c:pt>
                <c:pt idx="20">
                  <c:v>92.920834700699857</c:v>
                </c:pt>
                <c:pt idx="21">
                  <c:v>93.149481444905106</c:v>
                </c:pt>
                <c:pt idx="22">
                  <c:v>93.422199533911794</c:v>
                </c:pt>
                <c:pt idx="23">
                  <c:v>93.739948761437958</c:v>
                </c:pt>
                <c:pt idx="24">
                  <c:v>94.103709823762841</c:v>
                </c:pt>
                <c:pt idx="25">
                  <c:v>94.358117436338432</c:v>
                </c:pt>
                <c:pt idx="26">
                  <c:v>94.657157418566101</c:v>
                </c:pt>
                <c:pt idx="27">
                  <c:v>95.001801782264479</c:v>
                </c:pt>
                <c:pt idx="28">
                  <c:v>95.393043707901512</c:v>
                </c:pt>
                <c:pt idx="29">
                  <c:v>95.675530667000785</c:v>
                </c:pt>
                <c:pt idx="30">
                  <c:v>96.003261512839259</c:v>
                </c:pt>
                <c:pt idx="31">
                  <c:v>96.377221574965361</c:v>
                </c:pt>
                <c:pt idx="32">
                  <c:v>96.798417641612645</c:v>
                </c:pt>
                <c:pt idx="33">
                  <c:v>97.111511088422745</c:v>
                </c:pt>
                <c:pt idx="34">
                  <c:v>97.470514975597027</c:v>
                </c:pt>
                <c:pt idx="35">
                  <c:v>97.87642914900934</c:v>
                </c:pt>
                <c:pt idx="36">
                  <c:v>98.330275229357795</c:v>
                </c:pt>
                <c:pt idx="37">
                  <c:v>98.607810304449643</c:v>
                </c:pt>
                <c:pt idx="38">
                  <c:v>98.974593301435419</c:v>
                </c:pt>
                <c:pt idx="39">
                  <c:v>99.436515892420545</c:v>
                </c:pt>
                <c:pt idx="40">
                  <c:v>99.993156141520174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C046-4010-9D96-0339E9275626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'10Y_bond'!$W$51:$W$91</c:f>
              <c:numCache>
                <c:formatCode>"₹"#,##0.00_);[Red]\("₹"#,##0.00\)</c:formatCode>
                <c:ptCount val="41"/>
                <c:pt idx="0">
                  <c:v>87.149677713652096</c:v>
                </c:pt>
                <c:pt idx="1">
                  <c:v>87.293458622031963</c:v>
                </c:pt>
                <c:pt idx="2">
                  <c:v>87.480370744540323</c:v>
                </c:pt>
                <c:pt idx="3">
                  <c:v>87.711373602505361</c:v>
                </c:pt>
                <c:pt idx="4">
                  <c:v>87.987448063308108</c:v>
                </c:pt>
                <c:pt idx="5">
                  <c:v>88.14986648363444</c:v>
                </c:pt>
                <c:pt idx="6">
                  <c:v>88.355830738697065</c:v>
                </c:pt>
                <c:pt idx="7">
                  <c:v>88.606309573708145</c:v>
                </c:pt>
                <c:pt idx="8">
                  <c:v>88.902293285132458</c:v>
                </c:pt>
                <c:pt idx="9">
                  <c:v>89.085063868504349</c:v>
                </c:pt>
                <c:pt idx="10">
                  <c:v>89.311833052316217</c:v>
                </c:pt>
                <c:pt idx="11">
                  <c:v>89.583579654261584</c:v>
                </c:pt>
                <c:pt idx="12">
                  <c:v>89.901304267364651</c:v>
                </c:pt>
                <c:pt idx="13">
                  <c:v>90.106299412782292</c:v>
                </c:pt>
                <c:pt idx="14">
                  <c:v>90.355787578788338</c:v>
                </c:pt>
                <c:pt idx="15">
                  <c:v>90.650758582225919</c:v>
                </c:pt>
                <c:pt idx="16">
                  <c:v>90.9922242599622</c:v>
                </c:pt>
                <c:pt idx="17">
                  <c:v>91.221488627133795</c:v>
                </c:pt>
                <c:pt idx="18">
                  <c:v>91.495785921695898</c:v>
                </c:pt>
                <c:pt idx="19">
                  <c:v>91.816117971563003</c:v>
                </c:pt>
                <c:pt idx="20">
                  <c:v>92.183508891878745</c:v>
                </c:pt>
                <c:pt idx="21">
                  <c:v>92.439275249205636</c:v>
                </c:pt>
                <c:pt idx="22">
                  <c:v>92.740664112150924</c:v>
                </c:pt>
                <c:pt idx="23">
                  <c:v>93.08869042471909</c:v>
                </c:pt>
                <c:pt idx="24">
                  <c:v>93.4843917099316</c:v>
                </c:pt>
                <c:pt idx="25">
                  <c:v>93.769098240508086</c:v>
                </c:pt>
                <c:pt idx="26">
                  <c:v>94.100071096127834</c:v>
                </c:pt>
                <c:pt idx="27">
                  <c:v>94.478339543565525</c:v>
                </c:pt>
                <c:pt idx="28">
                  <c:v>94.90495574724531</c:v>
                </c:pt>
                <c:pt idx="29">
                  <c:v>95.221264947010383</c:v>
                </c:pt>
                <c:pt idx="30">
                  <c:v>95.584543522630639</c:v>
                </c:pt>
                <c:pt idx="31">
                  <c:v>95.995836381345839</c:v>
                </c:pt>
                <c:pt idx="32">
                  <c:v>96.456211675991881</c:v>
                </c:pt>
                <c:pt idx="33">
                  <c:v>96.807030990510867</c:v>
                </c:pt>
                <c:pt idx="34">
                  <c:v>97.205587412371671</c:v>
                </c:pt>
                <c:pt idx="35">
                  <c:v>97.652942928201952</c:v>
                </c:pt>
                <c:pt idx="36">
                  <c:v>98.150183150183153</c:v>
                </c:pt>
                <c:pt idx="37">
                  <c:v>98.4669270346118</c:v>
                </c:pt>
                <c:pt idx="38">
                  <c:v>98.876539196940726</c:v>
                </c:pt>
                <c:pt idx="39">
                  <c:v>99.385283479960904</c:v>
                </c:pt>
                <c:pt idx="40">
                  <c:v>99.992560997991887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C046-4010-9D96-0339E9275626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'10Y_bond'!$X$51:$X$91</c:f>
              <c:numCache>
                <c:formatCode>"₹"#,##0.00_);[Red]\("₹"#,##0.00\)</c:formatCode>
                <c:ptCount val="41"/>
                <c:pt idx="0">
                  <c:v>86.000250762062109</c:v>
                </c:pt>
                <c:pt idx="1">
                  <c:v>86.158686668935161</c:v>
                </c:pt>
                <c:pt idx="2">
                  <c:v>86.361493514363019</c:v>
                </c:pt>
                <c:pt idx="3">
                  <c:v>86.609679153367367</c:v>
                </c:pt>
                <c:pt idx="4">
                  <c:v>86.904274333695952</c:v>
                </c:pt>
                <c:pt idx="5">
                  <c:v>87.083244507502414</c:v>
                </c:pt>
                <c:pt idx="6">
                  <c:v>87.307052041461247</c:v>
                </c:pt>
                <c:pt idx="7">
                  <c:v>87.576715385036394</c:v>
                </c:pt>
                <c:pt idx="8">
                  <c:v>87.893276121063366</c:v>
                </c:pt>
                <c:pt idx="9">
                  <c:v>88.094710782895007</c:v>
                </c:pt>
                <c:pt idx="10">
                  <c:v>88.341493070106694</c:v>
                </c:pt>
                <c:pt idx="11">
                  <c:v>88.634653022482311</c:v>
                </c:pt>
                <c:pt idx="12">
                  <c:v>88.975244076443332</c:v>
                </c:pt>
                <c:pt idx="13">
                  <c:v>89.201254888174489</c:v>
                </c:pt>
                <c:pt idx="14">
                  <c:v>89.473171555444821</c:v>
                </c:pt>
                <c:pt idx="15">
                  <c:v>89.792036797848155</c:v>
                </c:pt>
                <c:pt idx="16">
                  <c:v>90.158917019629015</c:v>
                </c:pt>
                <c:pt idx="17">
                  <c:v>90.411814139350255</c:v>
                </c:pt>
                <c:pt idx="18">
                  <c:v>90.711227818404737</c:v>
                </c:pt>
                <c:pt idx="19">
                  <c:v>91.058214648098385</c:v>
                </c:pt>
                <c:pt idx="20">
                  <c:v>91.45385521947415</c:v>
                </c:pt>
                <c:pt idx="21">
                  <c:v>91.736165960136546</c:v>
                </c:pt>
                <c:pt idx="22">
                  <c:v>92.065661370082864</c:v>
                </c:pt>
                <c:pt idx="23">
                  <c:v>92.443413216272148</c:v>
                </c:pt>
                <c:pt idx="24">
                  <c:v>92.870517610104727</c:v>
                </c:pt>
                <c:pt idx="25">
                  <c:v>93.185006852076739</c:v>
                </c:pt>
                <c:pt idx="26">
                  <c:v>93.547411675618747</c:v>
                </c:pt>
                <c:pt idx="27">
                  <c:v>93.95882044985423</c:v>
                </c:pt>
                <c:pt idx="28">
                  <c:v>94.420346265454569</c:v>
                </c:pt>
                <c:pt idx="29">
                  <c:v>94.770038787859306</c:v>
                </c:pt>
                <c:pt idx="30">
                  <c:v>95.168446509875011</c:v>
                </c:pt>
                <c:pt idx="31">
                  <c:v>95.616675963393035</c:v>
                </c:pt>
                <c:pt idx="32">
                  <c:v>96.115858814407304</c:v>
                </c:pt>
                <c:pt idx="33">
                  <c:v>96.504063725605434</c:v>
                </c:pt>
                <c:pt idx="34">
                  <c:v>96.94185861855135</c:v>
                </c:pt>
                <c:pt idx="35">
                  <c:v>97.430369895204464</c:v>
                </c:pt>
                <c:pt idx="36">
                  <c:v>97.970749542961613</c:v>
                </c:pt>
                <c:pt idx="37">
                  <c:v>98.32643858010276</c:v>
                </c:pt>
                <c:pt idx="38">
                  <c:v>98.778672397325707</c:v>
                </c:pt>
                <c:pt idx="39">
                  <c:v>99.334101123595502</c:v>
                </c:pt>
                <c:pt idx="40">
                  <c:v>99.991965861074561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C046-4010-9D96-0339E9275626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'10Y_bond'!$Y$51:$Y$91</c:f>
              <c:numCache>
                <c:formatCode>"₹"#,##0.00_);[Red]\("₹"#,##0.00\)</c:formatCode>
                <c:ptCount val="41"/>
                <c:pt idx="0">
                  <c:v>84.871157435726815</c:v>
                </c:pt>
                <c:pt idx="1">
                  <c:v>85.043590056242451</c:v>
                </c:pt>
                <c:pt idx="2">
                  <c:v>85.261630527919976</c:v>
                </c:pt>
                <c:pt idx="3">
                  <c:v>85.526336104800023</c:v>
                </c:pt>
                <c:pt idx="4">
                  <c:v>85.838788549556597</c:v>
                </c:pt>
                <c:pt idx="5">
                  <c:v>86.033652218210307</c:v>
                </c:pt>
                <c:pt idx="6">
                  <c:v>86.274643721223413</c:v>
                </c:pt>
                <c:pt idx="7">
                  <c:v>86.562832366577297</c:v>
                </c:pt>
                <c:pt idx="8">
                  <c:v>86.89931225031404</c:v>
                </c:pt>
                <c:pt idx="9">
                  <c:v>87.118760347727076</c:v>
                </c:pt>
                <c:pt idx="10">
                  <c:v>87.384906181083977</c:v>
                </c:pt>
                <c:pt idx="11">
                  <c:v>87.698832269485195</c:v>
                </c:pt>
                <c:pt idx="12">
                  <c:v>88.061646226344209</c:v>
                </c:pt>
                <c:pt idx="13">
                  <c:v>88.30803885767746</c:v>
                </c:pt>
                <c:pt idx="14">
                  <c:v>88.601753837091138</c:v>
                </c:pt>
                <c:pt idx="15">
                  <c:v>88.943888163072259</c:v>
                </c:pt>
                <c:pt idx="16">
                  <c:v>89.335564264073241</c:v>
                </c:pt>
                <c:pt idx="17">
                  <c:v>89.61148810458306</c:v>
                </c:pt>
                <c:pt idx="18">
                  <c:v>89.935418868075004</c:v>
                </c:pt>
                <c:pt idx="19">
                  <c:v>90.30846942244365</c:v>
                </c:pt>
                <c:pt idx="20">
                  <c:v>90.731778433424282</c:v>
                </c:pt>
                <c:pt idx="21">
                  <c:v>91.040068479191618</c:v>
                </c:pt>
                <c:pt idx="22">
                  <c:v>91.397115742033307</c:v>
                </c:pt>
                <c:pt idx="23">
                  <c:v>91.804050482714715</c:v>
                </c:pt>
                <c:pt idx="24">
                  <c:v>92.26202916303302</c:v>
                </c:pt>
                <c:pt idx="25">
                  <c:v>92.605792569762585</c:v>
                </c:pt>
                <c:pt idx="26">
                  <c:v>92.999135515891624</c:v>
                </c:pt>
                <c:pt idx="27">
                  <c:v>93.443207324771805</c:v>
                </c:pt>
                <c:pt idx="28">
                  <c:v>93.939183962684226</c:v>
                </c:pt>
                <c:pt idx="29">
                  <c:v>94.321826173028356</c:v>
                </c:pt>
                <c:pt idx="30">
                  <c:v>94.754949188040314</c:v>
                </c:pt>
                <c:pt idx="31">
                  <c:v>95.239723223666374</c:v>
                </c:pt>
                <c:pt idx="32">
                  <c:v>95.777345623101908</c:v>
                </c:pt>
                <c:pt idx="33">
                  <c:v>96.202599002207677</c:v>
                </c:pt>
                <c:pt idx="34">
                  <c:v>96.679320972715303</c:v>
                </c:pt>
                <c:pt idx="35">
                  <c:v>97.208704648854805</c:v>
                </c:pt>
                <c:pt idx="36">
                  <c:v>97.791970802919707</c:v>
                </c:pt>
                <c:pt idx="37">
                  <c:v>98.18634328358209</c:v>
                </c:pt>
                <c:pt idx="38">
                  <c:v>98.680992366412212</c:v>
                </c:pt>
                <c:pt idx="39">
                  <c:v>99.282968749999995</c:v>
                </c:pt>
                <c:pt idx="40">
                  <c:v>99.991370730768097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C046-4010-9D96-0339E9275626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'10Y_bond'!$Z$51:$Z$91</c:f>
              <c:numCache>
                <c:formatCode>"₹"#,##0.00_);[Red]\("₹"#,##0.00\)</c:formatCode>
                <c:ptCount val="41"/>
                <c:pt idx="0">
                  <c:v>83.761982664031137</c:v>
                </c:pt>
                <c:pt idx="1">
                  <c:v>83.947774733466773</c:v>
                </c:pt>
                <c:pt idx="2">
                  <c:v>84.18040830661991</c:v>
                </c:pt>
                <c:pt idx="3">
                  <c:v>84.460991085053124</c:v>
                </c:pt>
                <c:pt idx="4">
                  <c:v>84.790656965106194</c:v>
                </c:pt>
                <c:pt idx="5">
                  <c:v>85.000774985680962</c:v>
                </c:pt>
                <c:pt idx="6">
                  <c:v>85.258309766785032</c:v>
                </c:pt>
                <c:pt idx="7">
                  <c:v>85.564382613576484</c:v>
                </c:pt>
                <c:pt idx="8">
                  <c:v>85.920141347686609</c:v>
                </c:pt>
                <c:pt idx="9">
                  <c:v>86.156969262612151</c:v>
                </c:pt>
                <c:pt idx="10">
                  <c:v>86.44184557004634</c:v>
                </c:pt>
                <c:pt idx="11">
                  <c:v>86.775906511895144</c:v>
                </c:pt>
                <c:pt idx="12">
                  <c:v>87.160315199759879</c:v>
                </c:pt>
                <c:pt idx="13">
                  <c:v>87.426470578682583</c:v>
                </c:pt>
                <c:pt idx="14">
                  <c:v>87.741367882027248</c:v>
                </c:pt>
                <c:pt idx="15">
                  <c:v>88.106159752249027</c:v>
                </c:pt>
                <c:pt idx="16">
                  <c:v>88.522026089336364</c:v>
                </c:pt>
                <c:pt idx="17">
                  <c:v>88.820383023727899</c:v>
                </c:pt>
                <c:pt idx="18">
                  <c:v>89.168243380582282</c:v>
                </c:pt>
                <c:pt idx="19">
                  <c:v>89.566777810157589</c:v>
                </c:pt>
                <c:pt idx="20">
                  <c:v>90.017184646091337</c:v>
                </c:pt>
                <c:pt idx="21">
                  <c:v>90.350898888387675</c:v>
                </c:pt>
                <c:pt idx="22">
                  <c:v>90.734952677995722</c:v>
                </c:pt>
                <c:pt idx="23">
                  <c:v>91.170536437741205</c:v>
                </c:pt>
                <c:pt idx="24">
                  <c:v>91.658868741408298</c:v>
                </c:pt>
                <c:pt idx="25">
                  <c:v>92.031405307784127</c:v>
                </c:pt>
                <c:pt idx="26">
                  <c:v>92.455199486555671</c:v>
                </c:pt>
                <c:pt idx="27">
                  <c:v>92.931463410827988</c:v>
                </c:pt>
                <c:pt idx="28">
                  <c:v>93.461437878066306</c:v>
                </c:pt>
                <c:pt idx="29">
                  <c:v>93.876601356281398</c:v>
                </c:pt>
                <c:pt idx="30">
                  <c:v>94.344030482354498</c:v>
                </c:pt>
                <c:pt idx="31">
                  <c:v>94.864961227277291</c:v>
                </c:pt>
                <c:pt idx="32">
                  <c:v>95.440658790116814</c:v>
                </c:pt>
                <c:pt idx="33">
                  <c:v>95.902626617531425</c:v>
                </c:pt>
                <c:pt idx="34">
                  <c:v>96.417966915741601</c:v>
                </c:pt>
                <c:pt idx="35">
                  <c:v>96.987941829738617</c:v>
                </c:pt>
                <c:pt idx="36">
                  <c:v>97.613843351548269</c:v>
                </c:pt>
                <c:pt idx="37">
                  <c:v>98.046639496972517</c:v>
                </c:pt>
                <c:pt idx="38">
                  <c:v>98.583498570066737</c:v>
                </c:pt>
                <c:pt idx="39">
                  <c:v>99.23188628599317</c:v>
                </c:pt>
                <c:pt idx="40">
                  <c:v>99.990775607072393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C046-4010-9D96-0339E9275626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'10Y_bond'!$AA$51:$AA$91</c:f>
              <c:numCache>
                <c:formatCode>"₹"#,##0.00_);[Red]\("₹"#,##0.00\)</c:formatCode>
                <c:ptCount val="41"/>
                <c:pt idx="0">
                  <c:v>82.672320761912744</c:v>
                </c:pt>
                <c:pt idx="1">
                  <c:v>82.870855400655032</c:v>
                </c:pt>
                <c:pt idx="2">
                  <c:v>83.117461513855034</c:v>
                </c:pt>
                <c:pt idx="3">
                  <c:v>83.413298282101621</c:v>
                </c:pt>
                <c:pt idx="4">
                  <c:v>83.759552838104042</c:v>
                </c:pt>
                <c:pt idx="5">
                  <c:v>83.984304653094227</c:v>
                </c:pt>
                <c:pt idx="6">
                  <c:v>84.257760135378845</c:v>
                </c:pt>
                <c:pt idx="7">
                  <c:v>84.581093710048279</c:v>
                </c:pt>
                <c:pt idx="8">
                  <c:v>84.955508121914448</c:v>
                </c:pt>
                <c:pt idx="9">
                  <c:v>85.209098830777336</c:v>
                </c:pt>
                <c:pt idx="10">
                  <c:v>85.512088619055049</c:v>
                </c:pt>
                <c:pt idx="11">
                  <c:v>85.865668680789625</c:v>
                </c:pt>
                <c:pt idx="12">
                  <c:v>86.271058934105895</c:v>
                </c:pt>
                <c:pt idx="13">
                  <c:v>86.556372426228776</c:v>
                </c:pt>
                <c:pt idx="14">
                  <c:v>86.891849951098862</c:v>
                </c:pt>
                <c:pt idx="15">
                  <c:v>87.278701148605094</c:v>
                </c:pt>
                <c:pt idx="16">
                  <c:v>87.718164827516489</c:v>
                </c:pt>
                <c:pt idx="17">
                  <c:v>88.038373381225327</c:v>
                </c:pt>
                <c:pt idx="18">
                  <c:v>88.40958741634708</c:v>
                </c:pt>
                <c:pt idx="19">
                  <c:v>88.833036863202096</c:v>
                </c:pt>
                <c:pt idx="20">
                  <c:v>89.309981310268142</c:v>
                </c:pt>
                <c:pt idx="21">
                  <c:v>89.668574431721552</c:v>
                </c:pt>
                <c:pt idx="22">
                  <c:v>90.079098628120107</c:v>
                </c:pt>
                <c:pt idx="23">
                  <c:v>90.542806149258823</c:v>
                </c:pt>
                <c:pt idx="24">
                  <c:v>91.060979441294975</c:v>
                </c:pt>
                <c:pt idx="25">
                  <c:v>91.461795587267403</c:v>
                </c:pt>
                <c:pt idx="26">
                  <c:v>91.915560961070426</c:v>
                </c:pt>
                <c:pt idx="27">
                  <c:v>92.423552363921189</c:v>
                </c:pt>
                <c:pt idx="28">
                  <c:v>92.98707738542447</c:v>
                </c:pt>
                <c:pt idx="29">
                  <c:v>93.434338858367838</c:v>
                </c:pt>
                <c:pt idx="30">
                  <c:v>93.935669527315795</c:v>
                </c:pt>
                <c:pt idx="31">
                  <c:v>94.492373200049826</c:v>
                </c:pt>
                <c:pt idx="32">
                  <c:v>95.105785123966939</c:v>
                </c:pt>
                <c:pt idx="33">
                  <c:v>95.604136456578317</c:v>
                </c:pt>
                <c:pt idx="34">
                  <c:v>96.157788950185676</c:v>
                </c:pt>
                <c:pt idx="35">
                  <c:v>96.768076119791303</c:v>
                </c:pt>
                <c:pt idx="36">
                  <c:v>97.436363636363637</c:v>
                </c:pt>
                <c:pt idx="37">
                  <c:v>97.907325581395355</c:v>
                </c:pt>
                <c:pt idx="38">
                  <c:v>98.486190476190473</c:v>
                </c:pt>
                <c:pt idx="39">
                  <c:v>99.180853658536591</c:v>
                </c:pt>
                <c:pt idx="40">
                  <c:v>99.990180489987353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046-4010-9D96-0339E9275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211807"/>
        <c:axId val="884368079"/>
      </c:lineChart>
      <c:dateAx>
        <c:axId val="8052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884368079"/>
        <c:crosses val="autoZero"/>
        <c:auto val="1"/>
        <c:lblOffset val="100"/>
        <c:baseTimeUnit val="months"/>
      </c:dateAx>
      <c:valAx>
        <c:axId val="884368079"/>
        <c:scaling>
          <c:orientation val="minMax"/>
          <c:max val="1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80521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IN"/>
              <a:t>Bond priced at fluctuating YTM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20581802274717"/>
          <c:y val="0.17171296296296296"/>
          <c:w val="0.84023862642169733"/>
          <c:h val="0.60514690871974341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'10Y_bond'!$A$51:$A$91</c:f>
              <c:numCache>
                <c:formatCode>d\-mmm\-yy</c:formatCode>
                <c:ptCount val="41"/>
                <c:pt idx="0">
                  <c:v>45152</c:v>
                </c:pt>
                <c:pt idx="1">
                  <c:v>45244</c:v>
                </c:pt>
                <c:pt idx="2">
                  <c:v>45336</c:v>
                </c:pt>
                <c:pt idx="3">
                  <c:v>45426</c:v>
                </c:pt>
                <c:pt idx="4">
                  <c:v>45518</c:v>
                </c:pt>
                <c:pt idx="5">
                  <c:v>45610</c:v>
                </c:pt>
                <c:pt idx="6">
                  <c:v>45702</c:v>
                </c:pt>
                <c:pt idx="7">
                  <c:v>45791</c:v>
                </c:pt>
                <c:pt idx="8">
                  <c:v>45883</c:v>
                </c:pt>
                <c:pt idx="9">
                  <c:v>45975</c:v>
                </c:pt>
                <c:pt idx="10">
                  <c:v>46067</c:v>
                </c:pt>
                <c:pt idx="11">
                  <c:v>46156</c:v>
                </c:pt>
                <c:pt idx="12">
                  <c:v>46248</c:v>
                </c:pt>
                <c:pt idx="13">
                  <c:v>46340</c:v>
                </c:pt>
                <c:pt idx="14">
                  <c:v>46432</c:v>
                </c:pt>
                <c:pt idx="15">
                  <c:v>46521</c:v>
                </c:pt>
                <c:pt idx="16">
                  <c:v>46613</c:v>
                </c:pt>
                <c:pt idx="17">
                  <c:v>46705</c:v>
                </c:pt>
                <c:pt idx="18">
                  <c:v>46797</c:v>
                </c:pt>
                <c:pt idx="19">
                  <c:v>46887</c:v>
                </c:pt>
                <c:pt idx="20">
                  <c:v>46979</c:v>
                </c:pt>
                <c:pt idx="21">
                  <c:v>47071</c:v>
                </c:pt>
                <c:pt idx="22">
                  <c:v>47163</c:v>
                </c:pt>
                <c:pt idx="23">
                  <c:v>47252</c:v>
                </c:pt>
                <c:pt idx="24">
                  <c:v>47344</c:v>
                </c:pt>
                <c:pt idx="25">
                  <c:v>47436</c:v>
                </c:pt>
                <c:pt idx="26">
                  <c:v>47528</c:v>
                </c:pt>
                <c:pt idx="27">
                  <c:v>47617</c:v>
                </c:pt>
                <c:pt idx="28">
                  <c:v>47709</c:v>
                </c:pt>
                <c:pt idx="29">
                  <c:v>47801</c:v>
                </c:pt>
                <c:pt idx="30">
                  <c:v>47893</c:v>
                </c:pt>
                <c:pt idx="31">
                  <c:v>47982</c:v>
                </c:pt>
                <c:pt idx="32">
                  <c:v>48074</c:v>
                </c:pt>
                <c:pt idx="33">
                  <c:v>48166</c:v>
                </c:pt>
                <c:pt idx="34">
                  <c:v>48258</c:v>
                </c:pt>
                <c:pt idx="35">
                  <c:v>48348</c:v>
                </c:pt>
                <c:pt idx="36">
                  <c:v>48440</c:v>
                </c:pt>
                <c:pt idx="37">
                  <c:v>48532</c:v>
                </c:pt>
                <c:pt idx="38">
                  <c:v>48624</c:v>
                </c:pt>
                <c:pt idx="39">
                  <c:v>48713</c:v>
                </c:pt>
                <c:pt idx="40">
                  <c:v>48804</c:v>
                </c:pt>
              </c:numCache>
            </c:numRef>
          </c:cat>
          <c:val>
            <c:numRef>
              <c:f>'10Y_bond'!$AC$51:$AC$91</c:f>
              <c:numCache>
                <c:formatCode>"₹"#,##0.00_);[Red]\("₹"#,##0.00\)</c:formatCode>
                <c:ptCount val="41"/>
                <c:pt idx="0">
                  <c:v>116.83338214562289</c:v>
                </c:pt>
                <c:pt idx="1">
                  <c:v>114.8151294465974</c:v>
                </c:pt>
                <c:pt idx="2">
                  <c:v>112.91528301226109</c:v>
                </c:pt>
                <c:pt idx="3">
                  <c:v>111.13319663129745</c:v>
                </c:pt>
                <c:pt idx="4">
                  <c:v>109.46858326930727</c:v>
                </c:pt>
                <c:pt idx="5">
                  <c:v>107.81615374440003</c:v>
                </c:pt>
                <c:pt idx="6">
                  <c:v>106.27317352030063</c:v>
                </c:pt>
                <c:pt idx="7">
                  <c:v>104.84009212000468</c:v>
                </c:pt>
                <c:pt idx="8">
                  <c:v>103.51768699321792</c:v>
                </c:pt>
                <c:pt idx="9">
                  <c:v>102.18800042640294</c:v>
                </c:pt>
                <c:pt idx="10">
                  <c:v>100.96262098454235</c:v>
                </c:pt>
                <c:pt idx="11">
                  <c:v>99.842952339913765</c:v>
                </c:pt>
                <c:pt idx="12">
                  <c:v>98.830713264573376</c:v>
                </c:pt>
                <c:pt idx="13">
                  <c:v>97.795248803877385</c:v>
                </c:pt>
                <c:pt idx="14">
                  <c:v>96.862255564879717</c:v>
                </c:pt>
                <c:pt idx="15">
                  <c:v>96.034017377084851</c:v>
                </c:pt>
                <c:pt idx="16">
                  <c:v>95.313136092389897</c:v>
                </c:pt>
                <c:pt idx="17">
                  <c:v>94.556292505820736</c:v>
                </c:pt>
                <c:pt idx="18">
                  <c:v>93.903138948936487</c:v>
                </c:pt>
                <c:pt idx="19">
                  <c:v>93.35682468757021</c:v>
                </c:pt>
                <c:pt idx="20">
                  <c:v>92.920834700699857</c:v>
                </c:pt>
                <c:pt idx="21">
                  <c:v>92.439275249205636</c:v>
                </c:pt>
                <c:pt idx="22">
                  <c:v>92.065661370082864</c:v>
                </c:pt>
                <c:pt idx="23">
                  <c:v>91.804050482714715</c:v>
                </c:pt>
                <c:pt idx="24">
                  <c:v>91.658868741408298</c:v>
                </c:pt>
                <c:pt idx="25">
                  <c:v>91.461795587267403</c:v>
                </c:pt>
                <c:pt idx="26">
                  <c:v>92.455199486555671</c:v>
                </c:pt>
                <c:pt idx="27">
                  <c:v>93.443207324771805</c:v>
                </c:pt>
                <c:pt idx="28">
                  <c:v>94.420346265454569</c:v>
                </c:pt>
                <c:pt idx="29">
                  <c:v>95.221264947010383</c:v>
                </c:pt>
                <c:pt idx="30">
                  <c:v>96.003261512839259</c:v>
                </c:pt>
                <c:pt idx="31">
                  <c:v>96.760848806108072</c:v>
                </c:pt>
                <c:pt idx="32">
                  <c:v>97.488443237046752</c:v>
                </c:pt>
                <c:pt idx="33">
                  <c:v>98.034132645622691</c:v>
                </c:pt>
                <c:pt idx="34">
                  <c:v>98.542367566878681</c:v>
                </c:pt>
                <c:pt idx="35">
                  <c:v>99.007750084343542</c:v>
                </c:pt>
                <c:pt idx="36">
                  <c:v>99.424860853432278</c:v>
                </c:pt>
                <c:pt idx="37">
                  <c:v>99.605189214758767</c:v>
                </c:pt>
                <c:pt idx="38">
                  <c:v>99.765834136933478</c:v>
                </c:pt>
                <c:pt idx="39">
                  <c:v>99.899872298624757</c:v>
                </c:pt>
                <c:pt idx="40">
                  <c:v>99.999107940431344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3BF-426F-B63B-64ADEA95919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'10Y_bond'!$AD$51:$AD$91</c:f>
              <c:numCache>
                <c:formatCode>"₹"#,##0.00_);[Red]\("₹"#,##0.00\)</c:formatCode>
                <c:ptCount val="41"/>
                <c:pt idx="0">
                  <c:v>100</c:v>
                </c:pt>
                <c:pt idx="1">
                  <c:v>88.44830893389404</c:v>
                </c:pt>
                <c:pt idx="2">
                  <c:v>85.261630527919976</c:v>
                </c:pt>
                <c:pt idx="3">
                  <c:v>111.13319663129745</c:v>
                </c:pt>
                <c:pt idx="4">
                  <c:v>103.84398404617065</c:v>
                </c:pt>
                <c:pt idx="5">
                  <c:v>86.033652218210307</c:v>
                </c:pt>
                <c:pt idx="6">
                  <c:v>97.372994971198239</c:v>
                </c:pt>
                <c:pt idx="7">
                  <c:v>85.564382613576484</c:v>
                </c:pt>
                <c:pt idx="8">
                  <c:v>84.955508121914448</c:v>
                </c:pt>
                <c:pt idx="9">
                  <c:v>96.442260073505835</c:v>
                </c:pt>
                <c:pt idx="10">
                  <c:v>102.11734329755478</c:v>
                </c:pt>
                <c:pt idx="11">
                  <c:v>103.21565960982595</c:v>
                </c:pt>
                <c:pt idx="12">
                  <c:v>95.730776551436833</c:v>
                </c:pt>
                <c:pt idx="13">
                  <c:v>108.64618600057976</c:v>
                </c:pt>
                <c:pt idx="14">
                  <c:v>94.001666672883601</c:v>
                </c:pt>
                <c:pt idx="15">
                  <c:v>96.034017377084851</c:v>
                </c:pt>
                <c:pt idx="16">
                  <c:v>87.718164827516489</c:v>
                </c:pt>
                <c:pt idx="17">
                  <c:v>107.5524169279491</c:v>
                </c:pt>
                <c:pt idx="18">
                  <c:v>99.849336267089143</c:v>
                </c:pt>
                <c:pt idx="19">
                  <c:v>102.4617512193406</c:v>
                </c:pt>
                <c:pt idx="20">
                  <c:v>91.45385521947415</c:v>
                </c:pt>
                <c:pt idx="21">
                  <c:v>106.39739678725111</c:v>
                </c:pt>
                <c:pt idx="22">
                  <c:v>103.69450137306399</c:v>
                </c:pt>
                <c:pt idx="23">
                  <c:v>95.060679847319889</c:v>
                </c:pt>
                <c:pt idx="24">
                  <c:v>96.636615938627074</c:v>
                </c:pt>
                <c:pt idx="25">
                  <c:v>95.551145185349142</c:v>
                </c:pt>
                <c:pt idx="26">
                  <c:v>98.095150344045635</c:v>
                </c:pt>
                <c:pt idx="27">
                  <c:v>99.336056785894087</c:v>
                </c:pt>
                <c:pt idx="28">
                  <c:v>99.426843980090084</c:v>
                </c:pt>
                <c:pt idx="29">
                  <c:v>93.876601356281398</c:v>
                </c:pt>
                <c:pt idx="30">
                  <c:v>104.01397567820291</c:v>
                </c:pt>
                <c:pt idx="31">
                  <c:v>99.51050188242435</c:v>
                </c:pt>
                <c:pt idx="32">
                  <c:v>104.05351473922903</c:v>
                </c:pt>
                <c:pt idx="33">
                  <c:v>97.725051398454909</c:v>
                </c:pt>
                <c:pt idx="34">
                  <c:v>99.085689321852982</c:v>
                </c:pt>
                <c:pt idx="35">
                  <c:v>97.430369895204464</c:v>
                </c:pt>
                <c:pt idx="36">
                  <c:v>101.30434782608695</c:v>
                </c:pt>
                <c:pt idx="37">
                  <c:v>100.03872921615202</c:v>
                </c:pt>
                <c:pt idx="38">
                  <c:v>99.269884836852214</c:v>
                </c:pt>
                <c:pt idx="39">
                  <c:v>99.23188628599317</c:v>
                </c:pt>
                <c:pt idx="40">
                  <c:v>99.998512730787184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3BF-426F-B63B-64ADEA9591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'10Y_bond'!$AE$51:$AE$91</c:f>
              <c:numCache>
                <c:formatCode>"₹"#,##0.00_);[Red]\("₹"#,##0.00\)</c:formatCode>
                <c:ptCount val="41"/>
                <c:pt idx="0">
                  <c:v>100</c:v>
                </c:pt>
                <c:pt idx="1">
                  <c:v>99.816722866919818</c:v>
                </c:pt>
                <c:pt idx="2">
                  <c:v>99.816722866919818</c:v>
                </c:pt>
                <c:pt idx="3">
                  <c:v>97.130297903438716</c:v>
                </c:pt>
                <c:pt idx="4">
                  <c:v>99.816722866919818</c:v>
                </c:pt>
                <c:pt idx="5">
                  <c:v>97.130297903438716</c:v>
                </c:pt>
                <c:pt idx="6">
                  <c:v>97.130297903438716</c:v>
                </c:pt>
                <c:pt idx="7">
                  <c:v>101.19666332698625</c:v>
                </c:pt>
                <c:pt idx="8">
                  <c:v>97.130297903438716</c:v>
                </c:pt>
                <c:pt idx="9">
                  <c:v>102.60177558831084</c:v>
                </c:pt>
                <c:pt idx="10">
                  <c:v>99.816722866919818</c:v>
                </c:pt>
                <c:pt idx="11">
                  <c:v>98.461436400330982</c:v>
                </c:pt>
                <c:pt idx="12">
                  <c:v>98.461436400330982</c:v>
                </c:pt>
                <c:pt idx="13">
                  <c:v>97.130297903438716</c:v>
                </c:pt>
                <c:pt idx="14">
                  <c:v>97.130297903438716</c:v>
                </c:pt>
                <c:pt idx="15">
                  <c:v>102.60177558831084</c:v>
                </c:pt>
                <c:pt idx="16">
                  <c:v>98.461436400330982</c:v>
                </c:pt>
                <c:pt idx="17">
                  <c:v>101.19666332698625</c:v>
                </c:pt>
                <c:pt idx="18">
                  <c:v>102.60177558831084</c:v>
                </c:pt>
                <c:pt idx="19">
                  <c:v>101.19666332698625</c:v>
                </c:pt>
                <c:pt idx="20">
                  <c:v>97.130297903438716</c:v>
                </c:pt>
                <c:pt idx="21">
                  <c:v>101.19666332698625</c:v>
                </c:pt>
                <c:pt idx="22">
                  <c:v>99.816722866919818</c:v>
                </c:pt>
                <c:pt idx="23">
                  <c:v>102.60177558831084</c:v>
                </c:pt>
                <c:pt idx="24">
                  <c:v>102.60177558831084</c:v>
                </c:pt>
                <c:pt idx="25">
                  <c:v>102.60177558831084</c:v>
                </c:pt>
                <c:pt idx="26">
                  <c:v>97.130297903438716</c:v>
                </c:pt>
                <c:pt idx="27">
                  <c:v>97.130297903438716</c:v>
                </c:pt>
                <c:pt idx="28">
                  <c:v>102.60177558831084</c:v>
                </c:pt>
                <c:pt idx="29">
                  <c:v>98.461436400330982</c:v>
                </c:pt>
                <c:pt idx="30">
                  <c:v>99.816722866919818</c:v>
                </c:pt>
                <c:pt idx="31">
                  <c:v>102.60177558831084</c:v>
                </c:pt>
                <c:pt idx="32">
                  <c:v>98.461436400330982</c:v>
                </c:pt>
                <c:pt idx="33">
                  <c:v>99.816722866919818</c:v>
                </c:pt>
                <c:pt idx="34">
                  <c:v>98.461436400330982</c:v>
                </c:pt>
                <c:pt idx="35">
                  <c:v>101.19666332698625</c:v>
                </c:pt>
                <c:pt idx="36">
                  <c:v>99.816722866919818</c:v>
                </c:pt>
                <c:pt idx="37">
                  <c:v>99.816722866919818</c:v>
                </c:pt>
                <c:pt idx="38">
                  <c:v>98.461436400330982</c:v>
                </c:pt>
                <c:pt idx="39">
                  <c:v>102.60177558831084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3BF-426F-B63B-64ADEA959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211807"/>
        <c:axId val="884368079"/>
      </c:lineChart>
      <c:dateAx>
        <c:axId val="80521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884368079"/>
        <c:crosses val="autoZero"/>
        <c:auto val="1"/>
        <c:lblOffset val="100"/>
        <c:baseTimeUnit val="months"/>
      </c:dateAx>
      <c:valAx>
        <c:axId val="884368079"/>
        <c:scaling>
          <c:orientation val="minMax"/>
          <c:max val="1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80521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IN"/>
              <a:t>Macaulay Duration, bonds priced @ steady YTM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Duration!$B$51:$B$81</c:f>
              <c:numCache>
                <c:formatCode>#,##0.00</c:formatCode>
                <c:ptCount val="31"/>
                <c:pt idx="0">
                  <c:v>15.093904066620144</c:v>
                </c:pt>
                <c:pt idx="1">
                  <c:v>14.854719813558999</c:v>
                </c:pt>
                <c:pt idx="2">
                  <c:v>14.605613926315591</c:v>
                </c:pt>
                <c:pt idx="3">
                  <c:v>14.346115482150207</c:v>
                </c:pt>
                <c:pt idx="4">
                  <c:v>14.075722901451019</c:v>
                </c:pt>
                <c:pt idx="5">
                  <c:v>13.793901020981613</c:v>
                </c:pt>
                <c:pt idx="6">
                  <c:v>13.500077800917886</c:v>
                </c:pt>
                <c:pt idx="7">
                  <c:v>13.193640611085387</c:v>
                </c:pt>
                <c:pt idx="8">
                  <c:v>12.873932032390396</c:v>
                </c:pt>
                <c:pt idx="9">
                  <c:v>12.540245098156051</c:v>
                </c:pt>
                <c:pt idx="10">
                  <c:v>12.191817886509462</c:v>
                </c:pt>
                <c:pt idx="11">
                  <c:v>11.827827358591138</c:v>
                </c:pt>
                <c:pt idx="12">
                  <c:v>11.447382317512497</c:v>
                </c:pt>
                <c:pt idx="13">
                  <c:v>11.049515338832816</c:v>
                </c:pt>
                <c:pt idx="14">
                  <c:v>10.633173493798557</c:v>
                </c:pt>
                <c:pt idx="15">
                  <c:v>10.197207650322108</c:v>
                </c:pt>
                <c:pt idx="16">
                  <c:v>9.7403600919215041</c:v>
                </c:pt>
                <c:pt idx="17">
                  <c:v>9.2612501393286433</c:v>
                </c:pt>
                <c:pt idx="18">
                  <c:v>8.7583573902488769</c:v>
                </c:pt>
                <c:pt idx="19">
                  <c:v>8.2300021059490263</c:v>
                </c:pt>
                <c:pt idx="20">
                  <c:v>7.6743221638585952</c:v>
                </c:pt>
                <c:pt idx="21">
                  <c:v>7.0892458564033856</c:v>
                </c:pt>
                <c:pt idx="22">
                  <c:v>6.4724596387643452</c:v>
                </c:pt>
                <c:pt idx="23">
                  <c:v>5.8213696998985069</c:v>
                </c:pt>
                <c:pt idx="24">
                  <c:v>5.1330559352699607</c:v>
                </c:pt>
                <c:pt idx="25">
                  <c:v>4.4042165133703506</c:v>
                </c:pt>
                <c:pt idx="26">
                  <c:v>3.6311007194358607</c:v>
                </c:pt>
                <c:pt idx="27">
                  <c:v>2.809427084203973</c:v>
                </c:pt>
                <c:pt idx="28">
                  <c:v>1.9342828999555433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A-4EA4-9697-D6849A8AD4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Duration!$C$51:$C$81</c:f>
              <c:numCache>
                <c:formatCode>#,##0.00</c:formatCode>
                <c:ptCount val="31"/>
                <c:pt idx="0">
                  <c:v>14.899532012491015</c:v>
                </c:pt>
                <c:pt idx="1">
                  <c:v>14.671232957546055</c:v>
                </c:pt>
                <c:pt idx="2">
                  <c:v>14.432939906380735</c:v>
                </c:pt>
                <c:pt idx="3">
                  <c:v>14.18416167969783</c:v>
                </c:pt>
                <c:pt idx="4">
                  <c:v>13.924375306103498</c:v>
                </c:pt>
                <c:pt idx="5">
                  <c:v>13.65302307571929</c:v>
                </c:pt>
                <c:pt idx="6">
                  <c:v>13.369509234029431</c:v>
                </c:pt>
                <c:pt idx="7">
                  <c:v>13.073196263353227</c:v>
                </c:pt>
                <c:pt idx="8">
                  <c:v>12.763400690434134</c:v>
                </c:pt>
                <c:pt idx="9">
                  <c:v>12.439388348014866</c:v>
                </c:pt>
                <c:pt idx="10">
                  <c:v>12.100369005541859</c:v>
                </c:pt>
                <c:pt idx="11">
                  <c:v>11.745490268839916</c:v>
                </c:pt>
                <c:pt idx="12">
                  <c:v>11.373830630124528</c:v>
                </c:pt>
                <c:pt idx="13">
                  <c:v>10.984391527328773</c:v>
                </c:pt>
                <c:pt idx="14">
                  <c:v>10.57608824446746</c:v>
                </c:pt>
                <c:pt idx="15">
                  <c:v>10.147739451440279</c:v>
                </c:pt>
                <c:pt idx="16">
                  <c:v>9.698055140748977</c:v>
                </c:pt>
                <c:pt idx="17">
                  <c:v>9.2256226680912707</c:v>
                </c:pt>
                <c:pt idx="18">
                  <c:v>8.7288905411339126</c:v>
                </c:pt>
                <c:pt idx="19">
                  <c:v>8.2061495226237184</c:v>
                </c:pt>
                <c:pt idx="20">
                  <c:v>7.6555105159953785</c:v>
                </c:pt>
                <c:pt idx="21">
                  <c:v>7.0748785780091392</c:v>
                </c:pt>
                <c:pt idx="22">
                  <c:v>6.4619222460300776</c:v>
                </c:pt>
                <c:pt idx="23">
                  <c:v>5.8140371670712065</c:v>
                </c:pt>
                <c:pt idx="24">
                  <c:v>5.128302757795157</c:v>
                </c:pt>
                <c:pt idx="25">
                  <c:v>4.4014302904169567</c:v>
                </c:pt>
                <c:pt idx="26">
                  <c:v>3.629700362923165</c:v>
                </c:pt>
                <c:pt idx="27">
                  <c:v>2.8088871372227966</c:v>
                </c:pt>
                <c:pt idx="28">
                  <c:v>1.9341659653303973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8A-4EA4-9697-D6849A8AD4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Duration!$D$51:$D$81</c:f>
              <c:numCache>
                <c:formatCode>#,##0.00</c:formatCode>
                <c:ptCount val="31"/>
                <c:pt idx="0">
                  <c:v>14.706551369949528</c:v>
                </c:pt>
                <c:pt idx="1">
                  <c:v>14.488906024521336</c:v>
                </c:pt>
                <c:pt idx="2">
                  <c:v>14.261215577147878</c:v>
                </c:pt>
                <c:pt idx="3">
                  <c:v>14.022968306961692</c:v>
                </c:pt>
                <c:pt idx="4">
                  <c:v>13.773619455017817</c:v>
                </c:pt>
                <c:pt idx="5">
                  <c:v>13.512588254435542</c:v>
                </c:pt>
                <c:pt idx="6">
                  <c:v>13.239254608017045</c:v>
                </c:pt>
                <c:pt idx="7">
                  <c:v>12.9529553629052</c:v>
                </c:pt>
                <c:pt idx="8">
                  <c:v>12.652980123495219</c:v>
                </c:pt>
                <c:pt idx="9">
                  <c:v>12.338566533886681</c:v>
                </c:pt>
                <c:pt idx="10">
                  <c:v>12.008894949315341</c:v>
                </c:pt>
                <c:pt idx="11">
                  <c:v>11.663082401815716</c:v>
                </c:pt>
                <c:pt idx="12">
                  <c:v>11.300175748310831</c:v>
                </c:pt>
                <c:pt idx="13">
                  <c:v>10.919143868745975</c:v>
                </c:pt>
                <c:pt idx="14">
                  <c:v>10.51886875695023</c:v>
                </c:pt>
                <c:pt idx="15">
                  <c:v>10.098135316574602</c:v>
                </c:pt>
                <c:pt idx="16">
                  <c:v>9.6556196373860441</c:v>
                </c:pt>
                <c:pt idx="17">
                  <c:v>9.1898754816883859</c:v>
                </c:pt>
                <c:pt idx="18">
                  <c:v>8.6993186545041574</c:v>
                </c:pt>
                <c:pt idx="19">
                  <c:v>8.1822088615521409</c:v>
                </c:pt>
                <c:pt idx="20">
                  <c:v>7.6366285723092542</c:v>
                </c:pt>
                <c:pt idx="21">
                  <c:v>7.0604582967233291</c:v>
                </c:pt>
                <c:pt idx="22">
                  <c:v>6.451347547080962</c:v>
                </c:pt>
                <c:pt idx="23">
                  <c:v>5.806680582675722</c:v>
                </c:pt>
                <c:pt idx="24">
                  <c:v>5.1235358129523041</c:v>
                </c:pt>
                <c:pt idx="25">
                  <c:v>4.3986374494572491</c:v>
                </c:pt>
                <c:pt idx="26">
                  <c:v>3.6282976274409715</c:v>
                </c:pt>
                <c:pt idx="27">
                  <c:v>2.8083467358248444</c:v>
                </c:pt>
                <c:pt idx="28">
                  <c:v>1.9340490599726077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A-4EA4-9697-D6849A8AD4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Duration!$E$51:$E$81</c:f>
              <c:numCache>
                <c:formatCode>#,##0.00</c:formatCode>
                <c:ptCount val="31"/>
                <c:pt idx="0">
                  <c:v>14.515049077574023</c:v>
                </c:pt>
                <c:pt idx="1">
                  <c:v>14.307819270476186</c:v>
                </c:pt>
                <c:pt idx="2">
                  <c:v>14.090514370156942</c:v>
                </c:pt>
                <c:pt idx="3">
                  <c:v>13.862601929732387</c:v>
                </c:pt>
                <c:pt idx="4">
                  <c:v>13.623515102171233</c:v>
                </c:pt>
                <c:pt idx="5">
                  <c:v>13.372649642017894</c:v>
                </c:pt>
                <c:pt idx="6">
                  <c:v>13.109360562652306</c:v>
                </c:pt>
                <c:pt idx="7">
                  <c:v>12.832958401038352</c:v>
                </c:pt>
                <c:pt idx="8">
                  <c:v>12.54270503414938</c:v>
                </c:pt>
                <c:pt idx="9">
                  <c:v>12.237808982064053</c:v>
                </c:pt>
                <c:pt idx="10">
                  <c:v>11.917420121799024</c:v>
                </c:pt>
                <c:pt idx="11">
                  <c:v>11.580623722917011</c:v>
                </c:pt>
                <c:pt idx="12">
                  <c:v>11.226433700361017</c:v>
                </c:pt>
                <c:pt idx="13">
                  <c:v>10.853784961246539</c:v>
                </c:pt>
                <c:pt idx="14">
                  <c:v>10.461524699778655</c:v>
                </c:pt>
                <c:pt idx="15">
                  <c:v>10.048402467151792</c:v>
                </c:pt>
                <c:pt idx="16">
                  <c:v>9.6130588101008829</c:v>
                </c:pt>
                <c:pt idx="17">
                  <c:v>9.1540122312632075</c:v>
                </c:pt>
                <c:pt idx="18">
                  <c:v>8.6696441748400179</c:v>
                </c:pt>
                <c:pt idx="19">
                  <c:v>8.1581816798549127</c:v>
                </c:pt>
                <c:pt idx="20">
                  <c:v>7.6176772675428461</c:v>
                </c:pt>
                <c:pt idx="21">
                  <c:v>7.0459855351085343</c:v>
                </c:pt>
                <c:pt idx="22">
                  <c:v>6.4407358100877321</c:v>
                </c:pt>
                <c:pt idx="23">
                  <c:v>5.799300071013068</c:v>
                </c:pt>
                <c:pt idx="24">
                  <c:v>5.1187551519924828</c:v>
                </c:pt>
                <c:pt idx="25">
                  <c:v>4.3958380090857716</c:v>
                </c:pt>
                <c:pt idx="26">
                  <c:v>3.6268925187693828</c:v>
                </c:pt>
                <c:pt idx="27">
                  <c:v>2.8078058812639037</c:v>
                </c:pt>
                <c:pt idx="28">
                  <c:v>1.9339321838711883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8A-4EA4-9697-D6849A8AD4A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Duration!$F$51:$F$81</c:f>
              <c:numCache>
                <c:formatCode>#,##0.00</c:formatCode>
                <c:ptCount val="31"/>
                <c:pt idx="0">
                  <c:v>14.325108334601195</c:v>
                </c:pt>
                <c:pt idx="1">
                  <c:v>14.128049909551835</c:v>
                </c:pt>
                <c:pt idx="2">
                  <c:v>13.920907284546054</c:v>
                </c:pt>
                <c:pt idx="3">
                  <c:v>13.703127206829262</c:v>
                </c:pt>
                <c:pt idx="4">
                  <c:v>13.474120540852473</c:v>
                </c:pt>
                <c:pt idx="5">
                  <c:v>13.233259235397799</c:v>
                </c:pt>
                <c:pt idx="6">
                  <c:v>12.9798729551267</c:v>
                </c:pt>
                <c:pt idx="7">
                  <c:v>12.713245331134337</c:v>
                </c:pt>
                <c:pt idx="8">
                  <c:v>12.432609777952486</c:v>
                </c:pt>
                <c:pt idx="9">
                  <c:v>12.137144816023232</c:v>
                </c:pt>
                <c:pt idx="10">
                  <c:v>11.825968828705532</c:v>
                </c:pt>
                <c:pt idx="11">
                  <c:v>11.498134171058636</c:v>
                </c:pt>
                <c:pt idx="12">
                  <c:v>11.152620533577187</c:v>
                </c:pt>
                <c:pt idx="13">
                  <c:v>10.78832744724588</c:v>
                </c:pt>
                <c:pt idx="14">
                  <c:v>10.404065796132857</c:v>
                </c:pt>
                <c:pt idx="15">
                  <c:v>9.9985481794953266</c:v>
                </c:pt>
                <c:pt idx="16">
                  <c:v>9.5703779360816252</c:v>
                </c:pt>
                <c:pt idx="17">
                  <c:v>9.118036607787845</c:v>
                </c:pt>
                <c:pt idx="18">
                  <c:v>8.6398695765529165</c:v>
                </c:pt>
                <c:pt idx="19">
                  <c:v>8.1340695554292726</c:v>
                </c:pt>
                <c:pt idx="20">
                  <c:v>7.5986575496831605</c:v>
                </c:pt>
                <c:pt idx="21">
                  <c:v>7.0314608233874329</c:v>
                </c:pt>
                <c:pt idx="22">
                  <c:v>6.4300873071612186</c:v>
                </c:pt>
                <c:pt idx="23">
                  <c:v>5.7918957581298027</c:v>
                </c:pt>
                <c:pt idx="24">
                  <c:v>5.1139608267976699</c:v>
                </c:pt>
                <c:pt idx="25">
                  <c:v>4.3930319880644095</c:v>
                </c:pt>
                <c:pt idx="26">
                  <c:v>3.6254850427128811</c:v>
                </c:pt>
                <c:pt idx="27">
                  <c:v>2.8072645747932103</c:v>
                </c:pt>
                <c:pt idx="28">
                  <c:v>1.9338153370151574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8A-4EA4-9697-D6849A8AD4A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Duration!$G$51:$G$81</c:f>
              <c:numCache>
                <c:formatCode>#,##0.00</c:formatCode>
                <c:ptCount val="31"/>
                <c:pt idx="0">
                  <c:v>14.136808489427219</c:v>
                </c:pt>
                <c:pt idx="1">
                  <c:v>13.949672004143554</c:v>
                </c:pt>
                <c:pt idx="2">
                  <c:v>13.75246278237042</c:v>
                </c:pt>
                <c:pt idx="3">
                  <c:v>13.544606793260563</c:v>
                </c:pt>
                <c:pt idx="4">
                  <c:v>13.325492516408673</c:v>
                </c:pt>
                <c:pt idx="5">
                  <c:v>13.094467866861898</c:v>
                </c:pt>
                <c:pt idx="6">
                  <c:v>12.850836794254839</c:v>
                </c:pt>
                <c:pt idx="7">
                  <c:v>12.593855513552802</c:v>
                </c:pt>
                <c:pt idx="8">
                  <c:v>12.322728318411714</c:v>
                </c:pt>
                <c:pt idx="9">
                  <c:v>12.036602920564603</c:v>
                </c:pt>
                <c:pt idx="10">
                  <c:v>11.734565249702086</c:v>
                </c:pt>
                <c:pt idx="11">
                  <c:v>11.415633637760216</c:v>
                </c:pt>
                <c:pt idx="12">
                  <c:v>11.078752299033582</c:v>
                </c:pt>
                <c:pt idx="13">
                  <c:v>10.722784002691558</c:v>
                </c:pt>
                <c:pt idx="14">
                  <c:v>10.3465018165915</c:v>
                </c:pt>
                <c:pt idx="15">
                  <c:v>9.9485797801373028</c:v>
                </c:pt>
                <c:pt idx="16">
                  <c:v>9.527582338555673</c:v>
                </c:pt>
                <c:pt idx="17">
                  <c:v>9.081952340394766</c:v>
                </c:pt>
                <c:pt idx="18">
                  <c:v>8.6099973630832558</c:v>
                </c:pt>
                <c:pt idx="19">
                  <c:v>8.1098740864995342</c:v>
                </c:pt>
                <c:pt idx="20">
                  <c:v>7.5795703797581035</c:v>
                </c:pt>
                <c:pt idx="21">
                  <c:v>7.0168846993605527</c:v>
                </c:pt>
                <c:pt idx="22">
                  <c:v>6.419402314323075</c:v>
                </c:pt>
                <c:pt idx="23">
                  <c:v>5.7844677718088802</c:v>
                </c:pt>
                <c:pt idx="24">
                  <c:v>5.1091528898781462</c:v>
                </c:pt>
                <c:pt idx="25">
                  <c:v>4.3902194053217185</c:v>
                </c:pt>
                <c:pt idx="26">
                  <c:v>3.6240752051001954</c:v>
                </c:pt>
                <c:pt idx="27">
                  <c:v>2.8067228176654448</c:v>
                </c:pt>
                <c:pt idx="28">
                  <c:v>1.9336985193935401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8A-4EA4-9697-D6849A8AD4A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Duration!$H$51:$H$81</c:f>
              <c:numCache>
                <c:formatCode>#,##0.00</c:formatCode>
                <c:ptCount val="31"/>
                <c:pt idx="0">
                  <c:v>13.950224945872701</c:v>
                </c:pt>
                <c:pt idx="1">
                  <c:v>13.77275636915912</c:v>
                </c:pt>
                <c:pt idx="2">
                  <c:v>13.585246694970577</c:v>
                </c:pt>
                <c:pt idx="3">
                  <c:v>13.387101251815295</c:v>
                </c:pt>
                <c:pt idx="4">
                  <c:v>13.177686145264284</c:v>
                </c:pt>
                <c:pt idx="5">
                  <c:v>12.956325131894335</c:v>
                </c:pt>
                <c:pt idx="6">
                  <c:v>12.722296177841121</c:v>
                </c:pt>
                <c:pt idx="7">
                  <c:v>12.474827662644413</c:v>
                </c:pt>
                <c:pt idx="8">
                  <c:v>12.213094183305726</c:v>
                </c:pt>
                <c:pt idx="9">
                  <c:v>11.936211906754664</c:v>
                </c:pt>
                <c:pt idx="10">
                  <c:v>11.643233411052258</c:v>
                </c:pt>
                <c:pt idx="11">
                  <c:v>11.333141946428611</c:v>
                </c:pt>
                <c:pt idx="12">
                  <c:v>11.004845036391286</c:v>
                </c:pt>
                <c:pt idx="13">
                  <c:v>10.657167326325162</c:v>
                </c:pt>
                <c:pt idx="14">
                  <c:v>10.288842571835989</c:v>
                </c:pt>
                <c:pt idx="15">
                  <c:v>9.8985046410798567</c:v>
                </c:pt>
                <c:pt idx="16">
                  <c:v>9.4846773838662912</c:v>
                </c:pt>
                <c:pt idx="17">
                  <c:v>9.0457631946771766</c:v>
                </c:pt>
                <c:pt idx="18">
                  <c:v>8.5800300659784359</c:v>
                </c:pt>
                <c:pt idx="19">
                  <c:v>8.0855968911561185</c:v>
                </c:pt>
                <c:pt idx="20">
                  <c:v>7.5604167316272095</c:v>
                </c:pt>
                <c:pt idx="21">
                  <c:v>7.0022577083214319</c:v>
                </c:pt>
                <c:pt idx="22">
                  <c:v>6.4086811114755573</c:v>
                </c:pt>
                <c:pt idx="23">
                  <c:v>5.7770162415602089</c:v>
                </c:pt>
                <c:pt idx="24">
                  <c:v>5.1043313943698641</c:v>
                </c:pt>
                <c:pt idx="25">
                  <c:v>4.3874002799522565</c:v>
                </c:pt>
                <c:pt idx="26">
                  <c:v>3.6226630117841729</c:v>
                </c:pt>
                <c:pt idx="27">
                  <c:v>2.8061806111327274</c:v>
                </c:pt>
                <c:pt idx="28">
                  <c:v>1.9335817309953665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8A-4EA4-9697-D6849A8AD4A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Duration!$I$51:$I$81</c:f>
              <c:numCache>
                <c:formatCode>#,##0.00</c:formatCode>
                <c:ptCount val="31"/>
                <c:pt idx="0">
                  <c:v>13.7654290870707</c:v>
                </c:pt>
                <c:pt idx="1">
                  <c:v>13.597370490443902</c:v>
                </c:pt>
                <c:pt idx="2">
                  <c:v>13.419322140498286</c:v>
                </c:pt>
                <c:pt idx="3">
                  <c:v>13.230668973247269</c:v>
                </c:pt>
                <c:pt idx="4">
                  <c:v>13.030754840392472</c:v>
                </c:pt>
                <c:pt idx="5">
                  <c:v>12.818879321728659</c:v>
                </c:pt>
                <c:pt idx="6">
                  <c:v>12.594294233372487</c:v>
                </c:pt>
                <c:pt idx="7">
                  <c:v>12.356199796022759</c:v>
                </c:pt>
                <c:pt idx="8">
                  <c:v>12.10374042246676</c:v>
                </c:pt>
                <c:pt idx="9">
                  <c:v>11.836000077757024</c:v>
                </c:pt>
                <c:pt idx="10">
                  <c:v>11.55199715875295</c:v>
                </c:pt>
                <c:pt idx="11">
                  <c:v>11.250678831879942</c:v>
                </c:pt>
                <c:pt idx="12">
                  <c:v>10.930914758798451</c:v>
                </c:pt>
                <c:pt idx="13">
                  <c:v>10.591490128946642</c:v>
                </c:pt>
                <c:pt idx="14">
                  <c:v>10.231097905320212</c:v>
                </c:pt>
                <c:pt idx="15">
                  <c:v>9.8483301750127303</c:v>
                </c:pt>
                <c:pt idx="16">
                  <c:v>9.4416684785099267</c:v>
                </c:pt>
                <c:pt idx="17">
                  <c:v>9.0094729709600045</c:v>
                </c:pt>
                <c:pt idx="18">
                  <c:v>8.5499702439515897</c:v>
                </c:pt>
                <c:pt idx="19">
                  <c:v>8.0612396068833867</c:v>
                </c:pt>
                <c:pt idx="20">
                  <c:v>7.5411975917666414</c:v>
                </c:pt>
                <c:pt idx="21">
                  <c:v>6.9875804029692636</c:v>
                </c:pt>
                <c:pt idx="22">
                  <c:v>6.3979239823703269</c:v>
                </c:pt>
                <c:pt idx="23">
                  <c:v>5.7695412986109158</c:v>
                </c:pt>
                <c:pt idx="24">
                  <c:v>5.0994963940317257</c:v>
                </c:pt>
                <c:pt idx="25">
                  <c:v>4.38457463121589</c:v>
                </c:pt>
                <c:pt idx="26">
                  <c:v>3.6212484686416468</c:v>
                </c:pt>
                <c:pt idx="27">
                  <c:v>2.8056379564466121</c:v>
                </c:pt>
                <c:pt idx="28">
                  <c:v>1.9334649718096715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8A-4EA4-9697-D6849A8AD4A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Duration!$J$51:$J$81</c:f>
              <c:numCache>
                <c:formatCode>#,##0.00</c:formatCode>
                <c:ptCount val="31"/>
                <c:pt idx="0">
                  <c:v>13.582488216720654</c:v>
                </c:pt>
                <c:pt idx="1">
                  <c:v>13.423578457291807</c:v>
                </c:pt>
                <c:pt idx="2">
                  <c:v>13.254749452635986</c:v>
                </c:pt>
                <c:pt idx="3">
                  <c:v>13.075366105157391</c:v>
                </c:pt>
                <c:pt idx="4">
                  <c:v>12.884750243380051</c:v>
                </c:pt>
                <c:pt idx="5">
                  <c:v>12.682177360760216</c:v>
                </c:pt>
                <c:pt idx="6">
                  <c:v>12.466873062181204</c:v>
                </c:pt>
                <c:pt idx="7">
                  <c:v>12.238009186222273</c:v>
                </c:pt>
                <c:pt idx="8">
                  <c:v>11.994699567130461</c:v>
                </c:pt>
                <c:pt idx="9">
                  <c:v>11.73599539563574</c:v>
                </c:pt>
                <c:pt idx="10">
                  <c:v>11.460880132229248</c:v>
                </c:pt>
                <c:pt idx="11">
                  <c:v>11.168263920145879</c:v>
                </c:pt>
                <c:pt idx="12">
                  <c:v>10.856977437906414</c:v>
                </c:pt>
                <c:pt idx="13">
                  <c:v>10.525765122700664</c:v>
                </c:pt>
                <c:pt idx="14">
                  <c:v>10.17327768591778</c:v>
                </c:pt>
                <c:pt idx="15">
                  <c:v>9.7980638304937244</c:v>
                </c:pt>
                <c:pt idx="16">
                  <c:v>9.3985610661378232</c:v>
                </c:pt>
                <c:pt idx="17">
                  <c:v>8.9730855025431975</c:v>
                </c:pt>
                <c:pt idx="18">
                  <c:v>8.5198204819218226</c:v>
                </c:pt>
                <c:pt idx="19">
                  <c:v>8.0368038900766372</c:v>
                </c:pt>
                <c:pt idx="20">
                  <c:v>7.5219139590485984</c:v>
                </c:pt>
                <c:pt idx="21">
                  <c:v>6.9728533433190325</c:v>
                </c:pt>
                <c:pt idx="22">
                  <c:v>6.3871312145763399</c:v>
                </c:pt>
                <c:pt idx="23">
                  <c:v>5.7620430758953338</c:v>
                </c:pt>
                <c:pt idx="24">
                  <c:v>5.0946479432428138</c:v>
                </c:pt>
                <c:pt idx="25">
                  <c:v>4.3817424785371069</c:v>
                </c:pt>
                <c:pt idx="26">
                  <c:v>3.6198315815733082</c:v>
                </c:pt>
                <c:pt idx="27">
                  <c:v>2.8050948548580834</c:v>
                </c:pt>
                <c:pt idx="28">
                  <c:v>1.9333482418254961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8A-4EA4-9697-D6849A8AD4A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Duration!$K$51:$K$81</c:f>
              <c:numCache>
                <c:formatCode>#,##0.00</c:formatCode>
                <c:ptCount val="31"/>
                <c:pt idx="0">
                  <c:v>13.40146551734057</c:v>
                </c:pt>
                <c:pt idx="1">
                  <c:v>13.251440908871011</c:v>
                </c:pt>
                <c:pt idx="2">
                  <c:v>13.091586120474473</c:v>
                </c:pt>
                <c:pt idx="3">
                  <c:v>12.921246489625432</c:v>
                </c:pt>
                <c:pt idx="4">
                  <c:v>12.73972216318611</c:v>
                </c:pt>
                <c:pt idx="5">
                  <c:v>12.546264748940418</c:v>
                </c:pt>
                <c:pt idx="6">
                  <c:v>12.340073687201356</c:v>
                </c:pt>
                <c:pt idx="7">
                  <c:v>12.120292314855961</c:v>
                </c:pt>
                <c:pt idx="8">
                  <c:v>11.886003590950658</c:v>
                </c:pt>
                <c:pt idx="9">
                  <c:v>11.636225449209357</c:v>
                </c:pt>
                <c:pt idx="10">
                  <c:v>11.369905738646731</c:v>
                </c:pt>
                <c:pt idx="11">
                  <c:v>11.085916708607353</c:v>
                </c:pt>
                <c:pt idx="12">
                  <c:v>10.783048989031327</c:v>
                </c:pt>
                <c:pt idx="13">
                  <c:v>10.460005010404117</c:v>
                </c:pt>
                <c:pt idx="14">
                  <c:v>10.115391800558427</c:v>
                </c:pt>
                <c:pt idx="15">
                  <c:v>9.7477130870987434</c:v>
                </c:pt>
                <c:pt idx="16">
                  <c:v>9.3553606245254493</c:v>
                </c:pt>
                <c:pt idx="17">
                  <c:v>8.9366046539190815</c:v>
                </c:pt>
                <c:pt idx="18">
                  <c:v>8.4895833900367137</c:v>
                </c:pt>
                <c:pt idx="19">
                  <c:v>8.012291415548507</c:v>
                </c:pt>
                <c:pt idx="20">
                  <c:v>7.5025668445152176</c:v>
                </c:pt>
                <c:pt idx="21">
                  <c:v>6.9580770966091645</c:v>
                </c:pt>
                <c:pt idx="22">
                  <c:v>6.3763030994467691</c:v>
                </c:pt>
                <c:pt idx="23">
                  <c:v>5.7545217080446873</c:v>
                </c:pt>
                <c:pt idx="24">
                  <c:v>5.0897860969995383</c:v>
                </c:pt>
                <c:pt idx="25">
                  <c:v>4.3789038415043056</c:v>
                </c:pt>
                <c:pt idx="26">
                  <c:v>3.618412356503574</c:v>
                </c:pt>
                <c:pt idx="27">
                  <c:v>2.8045513076175501</c:v>
                </c:pt>
                <c:pt idx="28">
                  <c:v>1.9332315410318868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F8A-4EA4-9697-D6849A8AD4A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Duration!$L$51:$L$81</c:f>
              <c:numCache>
                <c:formatCode>#,##0.00</c:formatCode>
                <c:ptCount val="31"/>
                <c:pt idx="0">
                  <c:v>13.222420025049713</c:v>
                </c:pt>
                <c:pt idx="1">
                  <c:v>13.081014994310614</c:v>
                </c:pt>
                <c:pt idx="2">
                  <c:v>12.929886739446738</c:v>
                </c:pt>
                <c:pt idx="3">
                  <c:v>12.768361609590793</c:v>
                </c:pt>
                <c:pt idx="4">
                  <c:v>12.595718521655812</c:v>
                </c:pt>
                <c:pt idx="5">
                  <c:v>12.411185509246485</c:v>
                </c:pt>
                <c:pt idx="6">
                  <c:v>12.213936004423203</c:v>
                </c:pt>
                <c:pt idx="7">
                  <c:v>12.003084829373689</c:v>
                </c:pt>
                <c:pt idx="8">
                  <c:v>11.77768387276819</c:v>
                </c:pt>
                <c:pt idx="9">
                  <c:v>11.536717423029033</c:v>
                </c:pt>
                <c:pt idx="10">
                  <c:v>11.279097127898376</c:v>
                </c:pt>
                <c:pt idx="11">
                  <c:v>11.003656546497606</c:v>
                </c:pt>
                <c:pt idx="12">
                  <c:v>10.709145256490411</c:v>
                </c:pt>
                <c:pt idx="13">
                  <c:v>10.394222474934004</c:v>
                </c:pt>
                <c:pt idx="14">
                  <c:v>10.05745014686544</c:v>
                </c:pt>
                <c:pt idx="15">
                  <c:v>9.6972854505483017</c:v>
                </c:pt>
                <c:pt idx="16">
                  <c:v>9.3120726625134633</c:v>
                </c:pt>
                <c:pt idx="17">
                  <c:v>8.9000343189655702</c:v>
                </c:pt>
                <c:pt idx="18">
                  <c:v>8.4592616026778895</c:v>
                </c:pt>
                <c:pt idx="19">
                  <c:v>7.9877038760251358</c:v>
                </c:pt>
                <c:pt idx="20">
                  <c:v>7.4831572711470722</c:v>
                </c:pt>
                <c:pt idx="21">
                  <c:v>6.9432522372067451</c:v>
                </c:pt>
                <c:pt idx="22">
                  <c:v>6.3654399320850068</c:v>
                </c:pt>
                <c:pt idx="23">
                  <c:v>5.7469773313765087</c:v>
                </c:pt>
                <c:pt idx="24">
                  <c:v>5.0849109109127362</c:v>
                </c:pt>
                <c:pt idx="25">
                  <c:v>4.3760587398690873</c:v>
                </c:pt>
                <c:pt idx="26">
                  <c:v>3.6169907993804524</c:v>
                </c:pt>
                <c:pt idx="27">
                  <c:v>2.8040073159748431</c:v>
                </c:pt>
                <c:pt idx="28">
                  <c:v>1.9331148694178959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8A-4EA4-9697-D6849A8AD4A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Duration!$M$51:$M$81</c:f>
              <c:numCache>
                <c:formatCode>#,##0.00</c:formatCode>
                <c:ptCount val="31"/>
                <c:pt idx="0">
                  <c:v>13.04540662032181</c:v>
                </c:pt>
                <c:pt idx="1">
                  <c:v>12.912354346115873</c:v>
                </c:pt>
                <c:pt idx="2">
                  <c:v>12.769702973151771</c:v>
                </c:pt>
                <c:pt idx="3">
                  <c:v>12.616760543931044</c:v>
                </c:pt>
                <c:pt idx="4">
                  <c:v>12.452785305811947</c:v>
                </c:pt>
                <c:pt idx="5">
                  <c:v>12.276982140291402</c:v>
                </c:pt>
                <c:pt idx="6">
                  <c:v>12.088498738129351</c:v>
                </c:pt>
                <c:pt idx="7">
                  <c:v>11.886421502508052</c:v>
                </c:pt>
                <c:pt idx="8">
                  <c:v>11.669771161213852</c:v>
                </c:pt>
                <c:pt idx="9">
                  <c:v>11.437498067548706</c:v>
                </c:pt>
                <c:pt idx="10">
                  <c:v>11.188477168319865</c:v>
                </c:pt>
                <c:pt idx="11">
                  <c:v>10.921502615814818</c:v>
                </c:pt>
                <c:pt idx="12">
                  <c:v>10.635281999141206</c:v>
                </c:pt>
                <c:pt idx="13">
                  <c:v>10.328430168694448</c:v>
                </c:pt>
                <c:pt idx="14">
                  <c:v>9.9994626258058066</c:v>
                </c:pt>
                <c:pt idx="15">
                  <c:v>9.6467884478172401</c:v>
                </c:pt>
                <c:pt idx="16">
                  <c:v>9.2687027169238334</c:v>
                </c:pt>
                <c:pt idx="17">
                  <c:v>8.8633784191170566</c:v>
                </c:pt>
                <c:pt idx="18">
                  <c:v>8.4288577774504692</c:v>
                </c:pt>
                <c:pt idx="19">
                  <c:v>7.9630429816323964</c:v>
                </c:pt>
                <c:pt idx="20">
                  <c:v>7.4636862736263909</c:v>
                </c:pt>
                <c:pt idx="21">
                  <c:v>6.9283793465103116</c:v>
                </c:pt>
                <c:pt idx="22">
                  <c:v>6.354542011309749</c:v>
                </c:pt>
                <c:pt idx="23">
                  <c:v>5.7394100838837563</c:v>
                </c:pt>
                <c:pt idx="24">
                  <c:v>5.0800224412046999</c:v>
                </c:pt>
                <c:pt idx="25">
                  <c:v>4.3732071935455341</c:v>
                </c:pt>
                <c:pt idx="26">
                  <c:v>3.615566916175418</c:v>
                </c:pt>
                <c:pt idx="27">
                  <c:v>2.8034628811792075</c:v>
                </c:pt>
                <c:pt idx="28">
                  <c:v>1.9329982269725801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F8A-4EA4-9697-D6849A8AD4A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Duration!$N$51:$N$81</c:f>
              <c:numCache>
                <c:formatCode>#,##0.00</c:formatCode>
                <c:ptCount val="31"/>
                <c:pt idx="0">
                  <c:v>12.870476034067391</c:v>
                </c:pt>
                <c:pt idx="1">
                  <c:v>12.745509066509014</c:v>
                </c:pt>
                <c:pt idx="2">
                  <c:v>12.611083525843126</c:v>
                </c:pt>
                <c:pt idx="3">
                  <c:v>12.466489931139398</c:v>
                </c:pt>
                <c:pt idx="4">
                  <c:v>12.310966526910034</c:v>
                </c:pt>
                <c:pt idx="5">
                  <c:v>12.14369557411151</c:v>
                </c:pt>
                <c:pt idx="6">
                  <c:v>11.96379939997685</c:v>
                </c:pt>
                <c:pt idx="7">
                  <c:v>11.770336194481262</c:v>
                </c:pt>
                <c:pt idx="8">
                  <c:v>11.562295541216811</c:v>
                </c:pt>
                <c:pt idx="9">
                  <c:v>11.338593670549857</c:v>
                </c:pt>
                <c:pt idx="10">
                  <c:v>11.098068423184083</c:v>
                </c:pt>
                <c:pt idx="11">
                  <c:v>10.839473912682838</c:v>
                </c:pt>
                <c:pt idx="12">
                  <c:v>10.561474876151296</c:v>
                </c:pt>
                <c:pt idx="13">
                  <c:v>10.262640703181308</c:v>
                </c:pt>
                <c:pt idx="14">
                  <c:v>9.9414391343647406</c:v>
                </c:pt>
                <c:pt idx="15">
                  <c:v>9.5962296222345529</c:v>
                </c:pt>
                <c:pt idx="16">
                  <c:v>9.2252563494548916</c:v>
                </c:pt>
                <c:pt idx="17">
                  <c:v>8.8266409015148302</c:v>
                </c:pt>
                <c:pt idx="18">
                  <c:v>8.3983745941572199</c:v>
                </c:pt>
                <c:pt idx="19">
                  <c:v>7.9383104593725351</c:v>
                </c:pt>
                <c:pt idx="20">
                  <c:v>7.4441548980951042</c:v>
                </c:pt>
                <c:pt idx="21">
                  <c:v>6.9134590128502742</c:v>
                </c:pt>
                <c:pt idx="22">
                  <c:v>6.3436096396191566</c:v>
                </c:pt>
                <c:pt idx="23">
                  <c:v>5.7318201052236635</c:v>
                </c:pt>
                <c:pt idx="24">
                  <c:v>5.0751207447061315</c:v>
                </c:pt>
                <c:pt idx="25">
                  <c:v>4.3703492226094705</c:v>
                </c:pt>
                <c:pt idx="26">
                  <c:v>3.6141407128832732</c:v>
                </c:pt>
                <c:pt idx="27">
                  <c:v>2.8029180044792974</c:v>
                </c:pt>
                <c:pt idx="28">
                  <c:v>1.9328816136850024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8A-4EA4-9697-D6849A8AD4A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Duration!$O$51:$O$81</c:f>
              <c:numCache>
                <c:formatCode>#,##0.00</c:formatCode>
                <c:ptCount val="31"/>
                <c:pt idx="0">
                  <c:v>12.697674868331799</c:v>
                </c:pt>
                <c:pt idx="1">
                  <c:v>12.580525726228112</c:v>
                </c:pt>
                <c:pt idx="2">
                  <c:v>12.454074125301663</c:v>
                </c:pt>
                <c:pt idx="3">
                  <c:v>12.317593941456996</c:v>
                </c:pt>
                <c:pt idx="4">
                  <c:v>12.170304186206893</c:v>
                </c:pt>
                <c:pt idx="5">
                  <c:v>12.011365139141846</c:v>
                </c:pt>
                <c:pt idx="6">
                  <c:v>11.83987425196961</c:v>
                </c:pt>
                <c:pt idx="7">
                  <c:v>11.654861818032687</c:v>
                </c:pt>
                <c:pt idx="8">
                  <c:v>11.455286402480519</c:v>
                </c:pt>
                <c:pt idx="9">
                  <c:v>11.240030029877456</c:v>
                </c:pt>
                <c:pt idx="10">
                  <c:v>11.007893128022076</c:v>
                </c:pt>
                <c:pt idx="11">
                  <c:v>10.757589229196739</c:v>
                </c:pt>
                <c:pt idx="12">
                  <c:v>10.487739433025176</c:v>
                </c:pt>
                <c:pt idx="13">
                  <c:v>10.196866638662556</c:v>
                </c:pt>
                <c:pt idx="14">
                  <c:v>9.8833895582560896</c:v>
                </c:pt>
                <c:pt idx="15">
                  <c:v>9.5456165285801422</c:v>
                </c:pt>
                <c:pt idx="16">
                  <c:v>9.1817391435589872</c:v>
                </c:pt>
                <c:pt idx="17">
                  <c:v>8.789825737138889</c:v>
                </c:pt>
                <c:pt idx="18">
                  <c:v>8.3678147537582817</c:v>
                </c:pt>
                <c:pt idx="19">
                  <c:v>7.9135080525915402</c:v>
                </c:pt>
                <c:pt idx="20">
                  <c:v>7.4245642019078497</c:v>
                </c:pt>
                <c:pt idx="21">
                  <c:v>6.898491831386993</c:v>
                </c:pt>
                <c:pt idx="22">
                  <c:v>6.3326431231541136</c:v>
                </c:pt>
                <c:pt idx="23">
                  <c:v>5.7242075367062926</c:v>
                </c:pt>
                <c:pt idx="24">
                  <c:v>5.0702058788530575</c:v>
                </c:pt>
                <c:pt idx="25">
                  <c:v>4.3674848472977326</c:v>
                </c:pt>
                <c:pt idx="26">
                  <c:v>3.6127121955220178</c:v>
                </c:pt>
                <c:pt idx="27">
                  <c:v>2.8023726871231753</c:v>
                </c:pt>
                <c:pt idx="28">
                  <c:v>1.9327650295442311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F8A-4EA4-9697-D6849A8AD4A7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Duration!$P$51:$P$81</c:f>
              <c:numCache>
                <c:formatCode>#,##0.00</c:formatCode>
                <c:ptCount val="31"/>
                <c:pt idx="0">
                  <c:v>12.527045630834131</c:v>
                </c:pt>
                <c:pt idx="1">
                  <c:v>12.417447375259735</c:v>
                </c:pt>
                <c:pt idx="2">
                  <c:v>12.2987175157623</c:v>
                </c:pt>
                <c:pt idx="3">
                  <c:v>12.170114257274108</c:v>
                </c:pt>
                <c:pt idx="4">
                  <c:v>12.030838247359052</c:v>
                </c:pt>
                <c:pt idx="5">
                  <c:v>11.880028528363558</c:v>
                </c:pt>
                <c:pt idx="6">
                  <c:v>11.716758273346372</c:v>
                </c:pt>
                <c:pt idx="7">
                  <c:v>11.540030306313238</c:v>
                </c:pt>
                <c:pt idx="8">
                  <c:v>11.348772409979178</c:v>
                </c:pt>
                <c:pt idx="9">
                  <c:v>11.141832427538109</c:v>
                </c:pt>
                <c:pt idx="10">
                  <c:v>10.917973168814372</c:v>
                </c:pt>
                <c:pt idx="11">
                  <c:v>10.675867135787943</c:v>
                </c:pt>
                <c:pt idx="12">
                  <c:v>10.414091087913947</c:v>
                </c:pt>
                <c:pt idx="13">
                  <c:v>10.131120473992077</c:v>
                </c:pt>
                <c:pt idx="14">
                  <c:v>9.8253237646800553</c:v>
                </c:pt>
                <c:pt idx="15">
                  <c:v>9.49495672818529</c:v>
                </c:pt>
                <c:pt idx="16">
                  <c:v>9.1381567013066221</c:v>
                </c:pt>
                <c:pt idx="17">
                  <c:v>8.7529369189231065</c:v>
                </c:pt>
                <c:pt idx="18">
                  <c:v>8.3371809773173418</c:v>
                </c:pt>
                <c:pt idx="19">
                  <c:v>7.8886375204376415</c:v>
                </c:pt>
                <c:pt idx="20">
                  <c:v>7.4049152533800351</c:v>
                </c:pt>
                <c:pt idx="21">
                  <c:v>6.8834784040065484</c:v>
                </c:pt>
                <c:pt idx="22">
                  <c:v>6.3216427716605894</c:v>
                </c:pt>
                <c:pt idx="23">
                  <c:v>5.7165725212828322</c:v>
                </c:pt>
                <c:pt idx="24">
                  <c:v>5.0652779016836504</c:v>
                </c:pt>
                <c:pt idx="25">
                  <c:v>4.3646140880074125</c:v>
                </c:pt>
                <c:pt idx="26">
                  <c:v>3.6112813701327178</c:v>
                </c:pt>
                <c:pt idx="27">
                  <c:v>2.8018269303583043</c:v>
                </c:pt>
                <c:pt idx="28">
                  <c:v>1.9326484745393404</c:v>
                </c:pt>
                <c:pt idx="29">
                  <c:v>1</c:v>
                </c:pt>
                <c:pt idx="30">
                  <c:v>2.7777777777777692E-3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8A-4EA4-9697-D6849A8AD4A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Duration!$Q$51:$Q$81</c:f>
              <c:numCache>
                <c:formatCode>#,##0.00</c:formatCode>
                <c:ptCount val="31"/>
                <c:pt idx="0">
                  <c:v>12.358626782520888</c:v>
                </c:pt>
                <c:pt idx="1">
                  <c:v>12.256313564931299</c:v>
                </c:pt>
                <c:pt idx="2">
                  <c:v>12.145053460519087</c:v>
                </c:pt>
                <c:pt idx="3">
                  <c:v>12.024090061575237</c:v>
                </c:pt>
                <c:pt idx="4">
                  <c:v>11.892606615335334</c:v>
                </c:pt>
                <c:pt idx="5">
                  <c:v>11.749721772582372</c:v>
                </c:pt>
                <c:pt idx="6">
                  <c:v>11.594485131390526</c:v>
                </c:pt>
                <c:pt idx="7">
                  <c:v>11.425872583679004</c:v>
                </c:pt>
                <c:pt idx="8">
                  <c:v>11.242781476518406</c:v>
                </c:pt>
                <c:pt idx="9">
                  <c:v>11.044025605205197</c:v>
                </c:pt>
                <c:pt idx="10">
                  <c:v>10.828330061092764</c:v>
                </c:pt>
                <c:pt idx="11">
                  <c:v>10.594325964141639</c:v>
                </c:pt>
                <c:pt idx="12">
                  <c:v>10.340545118232356</c:v>
                </c:pt>
                <c:pt idx="13">
                  <c:v>10.065414636574136</c:v>
                </c:pt>
                <c:pt idx="14">
                  <c:v>9.7672515951394097</c:v>
                </c:pt>
                <c:pt idx="15">
                  <c:v>9.4442577840436854</c:v>
                </c:pt>
                <c:pt idx="16">
                  <c:v>9.094514640240746</c:v>
                </c:pt>
                <c:pt idx="17">
                  <c:v>8.7159784598556023</c:v>
                </c:pt>
                <c:pt idx="18">
                  <c:v>8.3064760049351154</c:v>
                </c:pt>
                <c:pt idx="19">
                  <c:v>7.8637006373112577</c:v>
                </c:pt>
                <c:pt idx="20">
                  <c:v>7.385209131531135</c:v>
                </c:pt>
                <c:pt idx="21">
                  <c:v>6.8684193392142534</c:v>
                </c:pt>
                <c:pt idx="22">
                  <c:v>6.3106088984511146</c:v>
                </c:pt>
                <c:pt idx="23">
                  <c:v>5.7089152035335919</c:v>
                </c:pt>
                <c:pt idx="24">
                  <c:v>5.0603368718350028</c:v>
                </c:pt>
                <c:pt idx="25">
                  <c:v>4.3617369652950977</c:v>
                </c:pt>
                <c:pt idx="26">
                  <c:v>3.6098482427793681</c:v>
                </c:pt>
                <c:pt idx="27">
                  <c:v>2.8012807354315434</c:v>
                </c:pt>
                <c:pt idx="28">
                  <c:v>1.9325319486594092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F8A-4EA4-9697-D6849A8AD4A7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Duration!$R$51:$R$81</c:f>
              <c:numCache>
                <c:formatCode>#,##0.00</c:formatCode>
                <c:ptCount val="31"/>
                <c:pt idx="0">
                  <c:v>12.192452797267057</c:v>
                </c:pt>
                <c:pt idx="1">
                  <c:v>12.097160380746708</c:v>
                </c:pt>
                <c:pt idx="2">
                  <c:v>11.993118753793315</c:v>
                </c:pt>
                <c:pt idx="3">
                  <c:v>11.879558034168104</c:v>
                </c:pt>
                <c:pt idx="4">
                  <c:v>11.755645121698368</c:v>
                </c:pt>
                <c:pt idx="5">
                  <c:v>11.62047921877372</c:v>
                </c:pt>
                <c:pt idx="6">
                  <c:v>11.473087156149958</c:v>
                </c:pt>
                <c:pt idx="7">
                  <c:v>11.312418539403593</c:v>
                </c:pt>
                <c:pt idx="8">
                  <c:v>11.137340737394641</c:v>
                </c:pt>
                <c:pt idx="9">
                  <c:v>10.946633741169901</c:v>
                </c:pt>
                <c:pt idx="10">
                  <c:v>10.738984929989057</c:v>
                </c:pt>
                <c:pt idx="11">
                  <c:v>10.512983790696987</c:v>
                </c:pt>
                <c:pt idx="12">
                  <c:v>10.26711664760672</c:v>
                </c:pt>
                <c:pt idx="13">
                  <c:v>9.999761472495134</c:v>
                </c:pt>
                <c:pt idx="14">
                  <c:v>9.7091828583252084</c:v>
                </c:pt>
                <c:pt idx="15">
                  <c:v>9.3935272559396878</c:v>
                </c:pt>
                <c:pt idx="16">
                  <c:v>9.0508185902250542</c:v>
                </c:pt>
                <c:pt idx="17">
                  <c:v>8.6789543910663429</c:v>
                </c:pt>
                <c:pt idx="18">
                  <c:v>8.2757025946710669</c:v>
                </c:pt>
                <c:pt idx="19">
                  <c:v>7.8386991923067768</c:v>
                </c:pt>
                <c:pt idx="20">
                  <c:v>7.3654469258233002</c:v>
                </c:pt>
                <c:pt idx="21">
                  <c:v>6.8533152520259124</c:v>
                </c:pt>
                <c:pt idx="22">
                  <c:v>6.2995418203653779</c:v>
                </c:pt>
                <c:pt idx="23">
                  <c:v>5.7012357296557434</c:v>
                </c:pt>
                <c:pt idx="24">
                  <c:v>5.0553828485398471</c:v>
                </c:pt>
                <c:pt idx="25">
                  <c:v>4.3588534998761155</c:v>
                </c:pt>
                <c:pt idx="26">
                  <c:v>3.6084128195487617</c:v>
                </c:pt>
                <c:pt idx="27">
                  <c:v>2.8007341035891442</c:v>
                </c:pt>
                <c:pt idx="28">
                  <c:v>1.9324154518935219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8A-4EA4-9697-D6849A8AD4A7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Duration!$S$51:$S$81</c:f>
              <c:numCache>
                <c:formatCode>#,##0.00</c:formatCode>
                <c:ptCount val="31"/>
                <c:pt idx="0">
                  <c:v>12.028554232825927</c:v>
                </c:pt>
                <c:pt idx="1">
                  <c:v>11.940020485314223</c:v>
                </c:pt>
                <c:pt idx="2">
                  <c:v>11.842947241414663</c:v>
                </c:pt>
                <c:pt idx="3">
                  <c:v>11.736552355404516</c:v>
                </c:pt>
                <c:pt idx="4">
                  <c:v>11.619987516082354</c:v>
                </c:pt>
                <c:pt idx="5">
                  <c:v>11.492333513407265</c:v>
                </c:pt>
                <c:pt idx="6">
                  <c:v>11.352595319037736</c:v>
                </c:pt>
                <c:pt idx="7">
                  <c:v>11.19969700431548</c:v>
                </c:pt>
                <c:pt idx="8">
                  <c:v>11.032476527178753</c:v>
                </c:pt>
                <c:pt idx="9">
                  <c:v>10.849680428770878</c:v>
                </c:pt>
                <c:pt idx="10">
                  <c:v>10.649958491263384</c:v>
                </c:pt>
                <c:pt idx="11">
                  <c:v>10.43185842075847</c:v>
                </c:pt>
                <c:pt idx="12">
                  <c:v>10.19382063317593</c:v>
                </c:pt>
                <c:pt idx="13">
                  <c:v>9.9341732368388111</c:v>
                </c:pt>
                <c:pt idx="14">
                  <c:v>9.6511273230827967</c:v>
                </c:pt>
                <c:pt idx="15">
                  <c:v>9.3427726956004822</c:v>
                </c:pt>
                <c:pt idx="16">
                  <c:v>9.007074190290064</c:v>
                </c:pt>
                <c:pt idx="17">
                  <c:v>8.6418687599038577</c:v>
                </c:pt>
                <c:pt idx="18">
                  <c:v>8.2448635214542758</c:v>
                </c:pt>
                <c:pt idx="19">
                  <c:v>7.8136349886465544</c:v>
                </c:pt>
                <c:pt idx="20">
                  <c:v>7.3456297358954474</c:v>
                </c:pt>
                <c:pt idx="21">
                  <c:v>6.8381667638569343</c:v>
                </c:pt>
                <c:pt idx="22">
                  <c:v>6.2884418577299561</c:v>
                </c:pt>
                <c:pt idx="23">
                  <c:v>5.693534247450792</c:v>
                </c:pt>
                <c:pt idx="24">
                  <c:v>5.0504158916231914</c:v>
                </c:pt>
                <c:pt idx="25">
                  <c:v>4.355963712623744</c:v>
                </c:pt>
                <c:pt idx="26">
                  <c:v>3.6069751065503555</c:v>
                </c:pt>
                <c:pt idx="27">
                  <c:v>2.800187036076744</c:v>
                </c:pt>
                <c:pt idx="28">
                  <c:v>1.9322989842307692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F8A-4EA4-9697-D6849A8AD4A7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Duration!$T$51:$T$81</c:f>
              <c:numCache>
                <c:formatCode>#,##0.00</c:formatCode>
                <c:ptCount val="31"/>
                <c:pt idx="0">
                  <c:v>11.866957812107243</c:v>
                </c:pt>
                <c:pt idx="1">
                  <c:v>11.784923170687517</c:v>
                </c:pt>
                <c:pt idx="2">
                  <c:v>11.694569849836093</c:v>
                </c:pt>
                <c:pt idx="3">
                  <c:v>11.595104717073186</c:v>
                </c:pt>
                <c:pt idx="4">
                  <c:v>11.485665463669418</c:v>
                </c:pt>
                <c:pt idx="5">
                  <c:v>11.365315590643117</c:v>
                </c:pt>
                <c:pt idx="6">
                  <c:v>11.233039215267643</c:v>
                </c:pt>
                <c:pt idx="7">
                  <c:v>11.087735730354261</c:v>
                </c:pt>
                <c:pt idx="8">
                  <c:v>10.928214358640233</c:v>
                </c:pt>
                <c:pt idx="9">
                  <c:v>10.753188656329272</c:v>
                </c:pt>
                <c:pt idx="10">
                  <c:v>10.561271033340867</c:v>
                </c:pt>
                <c:pt idx="11">
                  <c:v>10.350967373244382</c:v>
                </c:pt>
                <c:pt idx="12">
                  <c:v>10.120671853266609</c:v>
                </c:pt>
                <c:pt idx="13">
                  <c:v>9.8686620842003911</c:v>
                </c:pt>
                <c:pt idx="14">
                  <c:v>9.5930947114686198</c:v>
                </c:pt>
                <c:pt idx="15">
                  <c:v>9.2920016418787466</c:v>
                </c:pt>
                <c:pt idx="16">
                  <c:v>8.9632870854807329</c:v>
                </c:pt>
                <c:pt idx="17">
                  <c:v>8.6047256280031394</c:v>
                </c:pt>
                <c:pt idx="18">
                  <c:v>8.2139615759843618</c:v>
                </c:pt>
                <c:pt idx="19">
                  <c:v>7.7885098431075228</c:v>
                </c:pt>
                <c:pt idx="20">
                  <c:v>7.3257586712929657</c:v>
                </c:pt>
                <c:pt idx="21">
                  <c:v>6.8229745024092674</c:v>
                </c:pt>
                <c:pt idx="22">
                  <c:v>6.2773093343171933</c:v>
                </c:pt>
                <c:pt idx="23">
                  <c:v>5.6858109063117537</c:v>
                </c:pt>
                <c:pt idx="24">
                  <c:v>5.0454360614989087</c:v>
                </c:pt>
                <c:pt idx="25">
                  <c:v>4.3530676245684337</c:v>
                </c:pt>
                <c:pt idx="26">
                  <c:v>3.6055351099161337</c:v>
                </c:pt>
                <c:pt idx="27">
                  <c:v>2.7996395341393647</c:v>
                </c:pt>
                <c:pt idx="28">
                  <c:v>1.9321825456602459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8A-4EA4-9697-D6849A8AD4A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Duration!$U$51:$U$81</c:f>
              <c:numCache>
                <c:formatCode>#,##0.00</c:formatCode>
                <c:ptCount val="31"/>
                <c:pt idx="0">
                  <c:v>11.707686513850573</c:v>
                </c:pt>
                <c:pt idx="1">
                  <c:v>11.63189441942064</c:v>
                </c:pt>
                <c:pt idx="2">
                  <c:v>11.548014622979164</c:v>
                </c:pt>
                <c:pt idx="3">
                  <c:v>11.455244340120238</c:v>
                </c:pt>
                <c:pt idx="4">
                  <c:v>11.352708548444616</c:v>
                </c:pt>
                <c:pt idx="5">
                  <c:v>11.239454665272348</c:v>
                </c:pt>
                <c:pt idx="6">
                  <c:v>11.114447050063212</c:v>
                </c:pt>
                <c:pt idx="7">
                  <c:v>10.976561373027664</c:v>
                </c:pt>
                <c:pt idx="8">
                  <c:v>10.824578903819789</c:v>
                </c:pt>
                <c:pt idx="9">
                  <c:v>10.657180788609836</c:v>
                </c:pt>
                <c:pt idx="10">
                  <c:v>10.472942400381523</c:v>
                </c:pt>
                <c:pt idx="11">
                  <c:v>10.270327866096153</c:v>
                </c:pt>
                <c:pt idx="12">
                  <c:v>10.047684895462066</c:v>
                </c:pt>
                <c:pt idx="13">
                  <c:v>9.803240059414426</c:v>
                </c:pt>
                <c:pt idx="14">
                  <c:v>9.5350946919080215</c:v>
                </c:pt>
                <c:pt idx="15">
                  <c:v>9.2412216159722522</c:v>
                </c:pt>
                <c:pt idx="16">
                  <c:v>8.9194629237093768</c:v>
                </c:pt>
                <c:pt idx="17">
                  <c:v>8.5675290693465627</c:v>
                </c:pt>
                <c:pt idx="18">
                  <c:v>8.1829995636234241</c:v>
                </c:pt>
                <c:pt idx="19">
                  <c:v>7.7633255854407626</c:v>
                </c:pt>
                <c:pt idx="20">
                  <c:v>7.3058348511931701</c:v>
                </c:pt>
                <c:pt idx="21">
                  <c:v>6.8077391015562494</c:v>
                </c:pt>
                <c:pt idx="22">
                  <c:v>6.2661445773032254</c:v>
                </c:pt>
                <c:pt idx="23">
                  <c:v>5.6780658572100871</c:v>
                </c:pt>
                <c:pt idx="24">
                  <c:v>5.0404434191662624</c:v>
                </c:pt>
                <c:pt idx="25">
                  <c:v>4.3501652568970117</c:v>
                </c:pt>
                <c:pt idx="26">
                  <c:v>3.6040928358004773</c:v>
                </c:pt>
                <c:pt idx="27">
                  <c:v>2.7990915990214047</c:v>
                </c:pt>
                <c:pt idx="28">
                  <c:v>1.9320661361710534</c:v>
                </c:pt>
                <c:pt idx="29">
                  <c:v>1</c:v>
                </c:pt>
                <c:pt idx="30">
                  <c:v>2.7777777777777683E-3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F8A-4EA4-9697-D6849A8AD4A7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Duration!$V$51:$V$81</c:f>
              <c:numCache>
                <c:formatCode>#,##0.00</c:formatCode>
                <c:ptCount val="31"/>
                <c:pt idx="0">
                  <c:v>11.550759671756508</c:v>
                </c:pt>
                <c:pt idx="1">
                  <c:v>11.480956973623373</c:v>
                </c:pt>
                <c:pt idx="2">
                  <c:v>11.403306766387285</c:v>
                </c:pt>
                <c:pt idx="3">
                  <c:v>11.316997998832345</c:v>
                </c:pt>
                <c:pt idx="4">
                  <c:v>11.221144281989361</c:v>
                </c:pt>
                <c:pt idx="5">
                  <c:v>11.114778230256862</c:v>
                </c:pt>
                <c:pt idx="6">
                  <c:v>10.99684562856374</c:v>
                </c:pt>
                <c:pt idx="7">
                  <c:v>10.866199476739537</c:v>
                </c:pt>
                <c:pt idx="8">
                  <c:v>10.721593977249391</c:v>
                </c:pt>
                <c:pt idx="9">
                  <c:v>10.561678549822796</c:v>
                </c:pt>
                <c:pt idx="10">
                  <c:v>10.384991976404363</c:v>
                </c:pt>
                <c:pt idx="11">
                  <c:v>10.189956802369808</c:v>
                </c:pt>
                <c:pt idx="12">
                  <c:v>9.9748741450834935</c:v>
                </c:pt>
                <c:pt idx="13">
                  <c:v>9.7379190885106262</c:v>
                </c:pt>
                <c:pt idx="14">
                  <c:v>9.4771368724640475</c:v>
                </c:pt>
                <c:pt idx="15">
                  <c:v>9.1904401166868137</c:v>
                </c:pt>
                <c:pt idx="16">
                  <c:v>8.875607352617628</c:v>
                </c:pt>
                <c:pt idx="17">
                  <c:v>8.5302831683199773</c:v>
                </c:pt>
                <c:pt idx="18">
                  <c:v>8.1519803032799398</c:v>
                </c:pt>
                <c:pt idx="19">
                  <c:v>7.7380840577845014</c:v>
                </c:pt>
                <c:pt idx="20">
                  <c:v>7.2858594041266604</c:v>
                </c:pt>
                <c:pt idx="21">
                  <c:v>6.7924612012254117</c:v>
                </c:pt>
                <c:pt idx="22">
                  <c:v>6.2549479172251807</c:v>
                </c:pt>
                <c:pt idx="23">
                  <c:v>5.6702992526823559</c:v>
                </c:pt>
                <c:pt idx="24">
                  <c:v>5.0354380262063625</c:v>
                </c:pt>
                <c:pt idx="25">
                  <c:v>4.3472566309518861</c:v>
                </c:pt>
                <c:pt idx="26">
                  <c:v>3.6026482903800221</c:v>
                </c:pt>
                <c:pt idx="27">
                  <c:v>2.7985432319666343</c:v>
                </c:pt>
                <c:pt idx="28">
                  <c:v>1.9319497557522984</c:v>
                </c:pt>
                <c:pt idx="29">
                  <c:v>1</c:v>
                </c:pt>
                <c:pt idx="30">
                  <c:v>2.7777777777777679E-3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F8A-4EA4-9697-D6849A8AD4A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Duration!$W$51:$W$81</c:f>
              <c:numCache>
                <c:formatCode>#,##0.00</c:formatCode>
                <c:ptCount val="31"/>
                <c:pt idx="0">
                  <c:v>11.396193081142215</c:v>
                </c:pt>
                <c:pt idx="1">
                  <c:v>11.332130411296392</c:v>
                </c:pt>
                <c:pt idx="2">
                  <c:v>11.26046869815073</c:v>
                </c:pt>
                <c:pt idx="3">
                  <c:v>11.180390051100678</c:v>
                </c:pt>
                <c:pt idx="4">
                  <c:v>11.090998117556136</c:v>
                </c:pt>
                <c:pt idx="5">
                  <c:v>10.991312058707708</c:v>
                </c:pt>
                <c:pt idx="6">
                  <c:v>10.8802603493376</c:v>
                </c:pt>
                <c:pt idx="7">
                  <c:v>10.756674462948279</c:v>
                </c:pt>
                <c:pt idx="8">
                  <c:v>10.619282521310829</c:v>
                </c:pt>
                <c:pt idx="9">
                  <c:v>10.46670300817544</c:v>
                </c:pt>
                <c:pt idx="10">
                  <c:v>10.297438670482805</c:v>
                </c:pt>
                <c:pt idx="11">
                  <c:v>10.109870757028359</c:v>
                </c:pt>
                <c:pt idx="12">
                  <c:v>9.9022537741002559</c:v>
                </c:pt>
                <c:pt idx="13">
                  <c:v>9.6727109699109537</c:v>
                </c:pt>
                <c:pt idx="14">
                  <c:v>9.4192307942267295</c:v>
                </c:pt>
                <c:pt idx="15">
                  <c:v>9.1396646157487655</c:v>
                </c:pt>
                <c:pt idx="16">
                  <c:v>8.8317260164511122</c:v>
                </c:pt>
                <c:pt idx="17">
                  <c:v>8.4929920177658165</c:v>
                </c:pt>
                <c:pt idx="18">
                  <c:v>8.1209066262855583</c:v>
                </c:pt>
                <c:pt idx="19">
                  <c:v>7.7127871140708884</c:v>
                </c:pt>
                <c:pt idx="20">
                  <c:v>7.2658334676947396</c:v>
                </c:pt>
                <c:pt idx="21">
                  <c:v>6.777141447279261</c:v>
                </c:pt>
                <c:pt idx="22">
                  <c:v>6.2437196879375589</c:v>
                </c:pt>
                <c:pt idx="23">
                  <c:v>5.662511246816635</c:v>
                </c:pt>
                <c:pt idx="24">
                  <c:v>5.0304199447785738</c:v>
                </c:pt>
                <c:pt idx="25">
                  <c:v>4.3443417682302252</c:v>
                </c:pt>
                <c:pt idx="26">
                  <c:v>3.6012014798535286</c:v>
                </c:pt>
                <c:pt idx="27">
                  <c:v>2.7979944342181953</c:v>
                </c:pt>
                <c:pt idx="28">
                  <c:v>1.9318334043930929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F8A-4EA4-9697-D6849A8AD4A7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Duration!$X$51:$X$81</c:f>
              <c:numCache>
                <c:formatCode>#,##0.00</c:formatCode>
                <c:ptCount val="31"/>
                <c:pt idx="0">
                  <c:v>11.243999112198784</c:v>
                </c:pt>
                <c:pt idx="1">
                  <c:v>11.185431229223937</c:v>
                </c:pt>
                <c:pt idx="2">
                  <c:v>11.119520106057687</c:v>
                </c:pt>
                <c:pt idx="3">
                  <c:v>11.045442474370253</c:v>
                </c:pt>
                <c:pt idx="4">
                  <c:v>10.962293469152213</c:v>
                </c:pt>
                <c:pt idx="5">
                  <c:v>10.869080210126546</c:v>
                </c:pt>
                <c:pt idx="6">
                  <c:v>10.764715201400177</c:v>
                </c:pt>
                <c:pt idx="7">
                  <c:v>10.648009621104666</c:v>
                </c:pt>
                <c:pt idx="8">
                  <c:v>10.517666593715672</c:v>
                </c:pt>
                <c:pt idx="9">
                  <c:v>10.372274561976544</c:v>
                </c:pt>
                <c:pt idx="10">
                  <c:v>10.210300903024553</c:v>
                </c:pt>
                <c:pt idx="11">
                  <c:v>10.030085964451619</c:v>
                </c:pt>
                <c:pt idx="12">
                  <c:v>9.8298377304849005</c:v>
                </c:pt>
                <c:pt idx="13">
                  <c:v>9.6076273658807168</c:v>
                </c:pt>
                <c:pt idx="14">
                  <c:v>9.3613859248321418</c:v>
                </c:pt>
                <c:pt idx="15">
                  <c:v>9.0889025531731207</c:v>
                </c:pt>
                <c:pt idx="16">
                  <c:v>8.7878245529505037</c:v>
                </c:pt>
                <c:pt idx="17">
                  <c:v>8.4556597170352781</c:v>
                </c:pt>
                <c:pt idx="18">
                  <c:v>8.0897813752657832</c:v>
                </c:pt>
                <c:pt idx="19">
                  <c:v>7.6874366194269896</c:v>
                </c:pt>
                <c:pt idx="20">
                  <c:v>7.2457581882830109</c:v>
                </c:pt>
                <c:pt idx="21">
                  <c:v>6.7617804913941031</c:v>
                </c:pt>
                <c:pt idx="22">
                  <c:v>6.23246022656779</c:v>
                </c:pt>
                <c:pt idx="23">
                  <c:v>5.6547019952386259</c:v>
                </c:pt>
                <c:pt idx="24">
                  <c:v>5.0253892376168485</c:v>
                </c:pt>
                <c:pt idx="25">
                  <c:v>4.3414206903831456</c:v>
                </c:pt>
                <c:pt idx="26">
                  <c:v>3.5997524104417469</c:v>
                </c:pt>
                <c:pt idx="27">
                  <c:v>2.7974452070185918</c:v>
                </c:pt>
                <c:pt idx="28">
                  <c:v>1.931717082082554</c:v>
                </c:pt>
                <c:pt idx="29">
                  <c:v>1</c:v>
                </c:pt>
                <c:pt idx="30">
                  <c:v>2.7777777777777692E-3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F8A-4EA4-9697-D6849A8AD4A7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Duration!$Y$51:$Y$81</c:f>
              <c:numCache>
                <c:formatCode>#,##0.00</c:formatCode>
                <c:ptCount val="31"/>
                <c:pt idx="0">
                  <c:v>11.094186828945645</c:v>
                </c:pt>
                <c:pt idx="1">
                  <c:v>11.04087293170614</c:v>
                </c:pt>
                <c:pt idx="2">
                  <c:v>10.980478010421129</c:v>
                </c:pt>
                <c:pt idx="3">
                  <c:v>10.912174906869486</c:v>
                </c:pt>
                <c:pt idx="4">
                  <c:v>10.835051735348026</c:v>
                </c:pt>
                <c:pt idx="5">
                  <c:v>10.748105040722605</c:v>
                </c:pt>
                <c:pt idx="6">
                  <c:v>10.650232764622604</c:v>
                </c:pt>
                <c:pt idx="7">
                  <c:v>10.540227102308583</c:v>
                </c:pt>
                <c:pt idx="8">
                  <c:v>10.416767357082207</c:v>
                </c:pt>
                <c:pt idx="9">
                  <c:v>10.278412927291324</c:v>
                </c:pt>
                <c:pt idx="10">
                  <c:v>10.123596593145411</c:v>
                </c:pt>
                <c:pt idx="11">
                  <c:v>9.9506183066773932</c:v>
                </c:pt>
                <c:pt idx="12">
                  <c:v>9.7576397280269571</c:v>
                </c:pt>
                <c:pt idx="13">
                  <c:v>9.542679794245549</c:v>
                </c:pt>
                <c:pt idx="14">
                  <c:v>9.3036116521200896</c:v>
                </c:pt>
                <c:pt idx="15">
                  <c:v>9.0381613326933063</c:v>
                </c:pt>
                <c:pt idx="16">
                  <c:v>8.7439085902625759</c:v>
                </c:pt>
                <c:pt idx="17">
                  <c:v>8.4182903700415412</c:v>
                </c:pt>
                <c:pt idx="18">
                  <c:v>8.0586074030054853</c:v>
                </c:pt>
                <c:pt idx="19">
                  <c:v>7.6620344495704042</c:v>
                </c:pt>
                <c:pt idx="20">
                  <c:v>7.2256347207713691</c:v>
                </c:pt>
                <c:pt idx="21">
                  <c:v>6.7463789909369734</c:v>
                </c:pt>
                <c:pt idx="22">
                  <c:v>6.2211698734710108</c:v>
                </c:pt>
                <c:pt idx="23">
                  <c:v>5.6468716550975628</c:v>
                </c:pt>
                <c:pt idx="24">
                  <c:v>5.0203459680260174</c:v>
                </c:pt>
                <c:pt idx="25">
                  <c:v>4.338493419214883</c:v>
                </c:pt>
                <c:pt idx="26">
                  <c:v>3.5983010883872755</c:v>
                </c:pt>
                <c:pt idx="27">
                  <c:v>2.7968955516096865</c:v>
                </c:pt>
                <c:pt idx="28">
                  <c:v>1.9316007888098041</c:v>
                </c:pt>
                <c:pt idx="29">
                  <c:v>1</c:v>
                </c:pt>
                <c:pt idx="30">
                  <c:v>2.7777777777777679E-3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F8A-4EA4-9697-D6849A8AD4A7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Duration!$Z$51:$Z$81</c:f>
              <c:numCache>
                <c:formatCode>#,##0.00</c:formatCode>
                <c:ptCount val="31"/>
                <c:pt idx="0">
                  <c:v>10.946762113001045</c:v>
                </c:pt>
                <c:pt idx="1">
                  <c:v>10.898466124422576</c:v>
                </c:pt>
                <c:pt idx="2">
                  <c:v>10.843356832030885</c:v>
                </c:pt>
                <c:pt idx="3">
                  <c:v>10.780604693708298</c:v>
                </c:pt>
                <c:pt idx="4">
                  <c:v>10.709292327516286</c:v>
                </c:pt>
                <c:pt idx="5">
                  <c:v>10.628407217606698</c:v>
                </c:pt>
                <c:pt idx="6">
                  <c:v>10.536834213407159</c:v>
                </c:pt>
                <c:pt idx="7">
                  <c:v>10.433347915615183</c:v>
                </c:pt>
                <c:pt idx="8">
                  <c:v>10.316605070577653</c:v>
                </c:pt>
                <c:pt idx="9">
                  <c:v>10.185137127139155</c:v>
                </c:pt>
                <c:pt idx="10">
                  <c:v>10.037343147142662</c:v>
                </c:pt>
                <c:pt idx="11">
                  <c:v>9.8714833023855917</c:v>
                </c:pt>
                <c:pt idx="12">
                  <c:v>9.6856732366181646</c:v>
                </c:pt>
                <c:pt idx="13">
                  <c:v>9.4778796203853268</c:v>
                </c:pt>
                <c:pt idx="14">
                  <c:v>9.2459172779388297</c:v>
                </c:pt>
                <c:pt idx="15">
                  <c:v>8.9874483172582806</c:v>
                </c:pt>
                <c:pt idx="16">
                  <c:v>8.6999837438748067</c:v>
                </c:pt>
                <c:pt idx="17">
                  <c:v>8.3808880833159627</c:v>
                </c:pt>
                <c:pt idx="18">
                  <c:v>8.0273875713102232</c:v>
                </c:pt>
                <c:pt idx="19">
                  <c:v>7.6365824901999364</c:v>
                </c:pt>
                <c:pt idx="20">
                  <c:v>7.2054642282404746</c:v>
                </c:pt>
                <c:pt idx="21">
                  <c:v>6.7309376088406792</c:v>
                </c:pt>
                <c:pt idx="22">
                  <c:v>6.2098489721840542</c:v>
                </c:pt>
                <c:pt idx="23">
                  <c:v>5.6390203850518299</c:v>
                </c:pt>
                <c:pt idx="24">
                  <c:v>5.0152901998780015</c:v>
                </c:pt>
                <c:pt idx="25">
                  <c:v>4.3355599766819566</c:v>
                </c:pt>
                <c:pt idx="26">
                  <c:v>3.596847519954427</c:v>
                </c:pt>
                <c:pt idx="27">
                  <c:v>2.7963454692326981</c:v>
                </c:pt>
                <c:pt idx="28">
                  <c:v>1.9314845245639716</c:v>
                </c:pt>
                <c:pt idx="29">
                  <c:v>1</c:v>
                </c:pt>
                <c:pt idx="30">
                  <c:v>2.7777777777777679E-3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F8A-4EA4-9697-D6849A8AD4A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Duration!$A$51:$A$81</c:f>
              <c:numCache>
                <c:formatCode>d\-mmm\-yy</c:formatCode>
                <c:ptCount val="31"/>
                <c:pt idx="0">
                  <c:v>45152</c:v>
                </c:pt>
                <c:pt idx="1">
                  <c:v>45518</c:v>
                </c:pt>
                <c:pt idx="2">
                  <c:v>45883</c:v>
                </c:pt>
                <c:pt idx="3">
                  <c:v>46248</c:v>
                </c:pt>
                <c:pt idx="4">
                  <c:v>46613</c:v>
                </c:pt>
                <c:pt idx="5">
                  <c:v>46979</c:v>
                </c:pt>
                <c:pt idx="6">
                  <c:v>47344</c:v>
                </c:pt>
                <c:pt idx="7">
                  <c:v>47709</c:v>
                </c:pt>
                <c:pt idx="8">
                  <c:v>48074</c:v>
                </c:pt>
                <c:pt idx="9">
                  <c:v>48440</c:v>
                </c:pt>
                <c:pt idx="10">
                  <c:v>48805</c:v>
                </c:pt>
                <c:pt idx="11">
                  <c:v>49170</c:v>
                </c:pt>
                <c:pt idx="12">
                  <c:v>49535</c:v>
                </c:pt>
                <c:pt idx="13">
                  <c:v>49901</c:v>
                </c:pt>
                <c:pt idx="14">
                  <c:v>50266</c:v>
                </c:pt>
                <c:pt idx="15">
                  <c:v>50631</c:v>
                </c:pt>
                <c:pt idx="16">
                  <c:v>50996</c:v>
                </c:pt>
                <c:pt idx="17">
                  <c:v>51362</c:v>
                </c:pt>
                <c:pt idx="18">
                  <c:v>51727</c:v>
                </c:pt>
                <c:pt idx="19">
                  <c:v>52092</c:v>
                </c:pt>
                <c:pt idx="20">
                  <c:v>52457</c:v>
                </c:pt>
                <c:pt idx="21">
                  <c:v>52823</c:v>
                </c:pt>
                <c:pt idx="22">
                  <c:v>53188</c:v>
                </c:pt>
                <c:pt idx="23">
                  <c:v>53553</c:v>
                </c:pt>
                <c:pt idx="24">
                  <c:v>53918</c:v>
                </c:pt>
                <c:pt idx="25">
                  <c:v>54284</c:v>
                </c:pt>
                <c:pt idx="26">
                  <c:v>54649</c:v>
                </c:pt>
                <c:pt idx="27">
                  <c:v>55014</c:v>
                </c:pt>
                <c:pt idx="28">
                  <c:v>55379</c:v>
                </c:pt>
                <c:pt idx="29">
                  <c:v>55745</c:v>
                </c:pt>
                <c:pt idx="30">
                  <c:v>56109</c:v>
                </c:pt>
              </c:numCache>
            </c:numRef>
          </c:cat>
          <c:val>
            <c:numRef>
              <c:f>Duration!$AA$51:$AA$81</c:f>
              <c:numCache>
                <c:formatCode>#,##0.00</c:formatCode>
                <c:ptCount val="31"/>
                <c:pt idx="0">
                  <c:v>10.801727791316114</c:v>
                </c:pt>
                <c:pt idx="1">
                  <c:v>10.75821861273238</c:v>
                </c:pt>
                <c:pt idx="2">
                  <c:v>10.708168464683533</c:v>
                </c:pt>
                <c:pt idx="3">
                  <c:v>10.650746937429373</c:v>
                </c:pt>
                <c:pt idx="4">
                  <c:v>10.585032702200062</c:v>
                </c:pt>
                <c:pt idx="5">
                  <c:v>10.510005736654715</c:v>
                </c:pt>
                <c:pt idx="6">
                  <c:v>10.424539323495843</c:v>
                </c:pt>
                <c:pt idx="7">
                  <c:v>10.327391926912789</c:v>
                </c:pt>
                <c:pt idx="8">
                  <c:v>10.217199083587124</c:v>
                </c:pt>
                <c:pt idx="9">
                  <c:v>10.09246548222119</c:v>
                </c:pt>
                <c:pt idx="10">
                  <c:v>9.9515574480699627</c:v>
                </c:pt>
                <c:pt idx="11">
                  <c:v>9.7926960966343408</c:v>
                </c:pt>
                <c:pt idx="12">
                  <c:v>9.6139514730201974</c:v>
                </c:pt>
                <c:pt idx="13">
                  <c:v>9.4132380495152503</c:v>
                </c:pt>
                <c:pt idx="14">
                  <c:v>9.1883120121049142</c:v>
                </c:pt>
                <c:pt idx="15">
                  <c:v>8.9367708246025828</c:v>
                </c:pt>
                <c:pt idx="16">
                  <c:v>8.6560556135769584</c:v>
                </c:pt>
                <c:pt idx="17">
                  <c:v>8.3434569640692224</c:v>
                </c:pt>
                <c:pt idx="18">
                  <c:v>7.9961247498643466</c:v>
                </c:pt>
                <c:pt idx="19">
                  <c:v>7.6110826363817363</c:v>
                </c:pt>
                <c:pt idx="20">
                  <c:v>7.1852478816749246</c:v>
                </c:pt>
                <c:pt idx="21">
                  <c:v>6.7154570134770557</c:v>
                </c:pt>
                <c:pt idx="22">
                  <c:v>6.1984978693786603</c:v>
                </c:pt>
                <c:pt idx="23">
                  <c:v>5.6311483452543287</c:v>
                </c:pt>
                <c:pt idx="24">
                  <c:v>5.010221997607978</c:v>
                </c:pt>
                <c:pt idx="25">
                  <c:v>4.332620384892321</c:v>
                </c:pt>
                <c:pt idx="26">
                  <c:v>3.5953917114290941</c:v>
                </c:pt>
                <c:pt idx="27">
                  <c:v>2.7957949611281951</c:v>
                </c:pt>
                <c:pt idx="28">
                  <c:v>1.9313682893341906</c:v>
                </c:pt>
                <c:pt idx="29">
                  <c:v>1</c:v>
                </c:pt>
                <c:pt idx="30">
                  <c:v>2.7777777777777688E-3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F8A-4EA4-9697-D6849A8AD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849888"/>
        <c:axId val="525595712"/>
      </c:lineChart>
      <c:dateAx>
        <c:axId val="5348498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25595712"/>
        <c:crosses val="autoZero"/>
        <c:auto val="1"/>
        <c:lblOffset val="100"/>
        <c:baseTimeUnit val="months"/>
        <c:majorUnit val="12"/>
        <c:majorTimeUnit val="months"/>
      </c:dateAx>
      <c:valAx>
        <c:axId val="5255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3484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IN"/>
              <a:t>Macaulay</a:t>
            </a:r>
            <a:r>
              <a:rPr lang="en-IN" baseline="0"/>
              <a:t> Duration as a function of YTM, </a:t>
            </a:r>
          </a:p>
          <a:p>
            <a:pPr>
              <a:defRPr/>
            </a:pPr>
            <a:r>
              <a:rPr lang="en-IN" baseline="0"/>
              <a:t>30Y res. mty vs. 3Y res. mty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Duration!$B$50:$AA$50</c:f>
              <c:numCache>
                <c:formatCode>0.00%</c:formatCode>
                <c:ptCount val="26"/>
                <c:pt idx="0">
                  <c:v>0.05</c:v>
                </c:pt>
                <c:pt idx="1">
                  <c:v>5.2000000000000005E-2</c:v>
                </c:pt>
                <c:pt idx="2">
                  <c:v>5.4000000000000006E-2</c:v>
                </c:pt>
                <c:pt idx="3">
                  <c:v>5.6000000000000008E-2</c:v>
                </c:pt>
                <c:pt idx="4">
                  <c:v>5.800000000000001E-2</c:v>
                </c:pt>
                <c:pt idx="5">
                  <c:v>6.0000000000000012E-2</c:v>
                </c:pt>
                <c:pt idx="6">
                  <c:v>6.2000000000000013E-2</c:v>
                </c:pt>
                <c:pt idx="7">
                  <c:v>6.4000000000000015E-2</c:v>
                </c:pt>
                <c:pt idx="8">
                  <c:v>6.6000000000000017E-2</c:v>
                </c:pt>
                <c:pt idx="9">
                  <c:v>6.8000000000000019E-2</c:v>
                </c:pt>
                <c:pt idx="10">
                  <c:v>7.0000000000000021E-2</c:v>
                </c:pt>
                <c:pt idx="11">
                  <c:v>7.2000000000000022E-2</c:v>
                </c:pt>
                <c:pt idx="12">
                  <c:v>7.4000000000000024E-2</c:v>
                </c:pt>
                <c:pt idx="13">
                  <c:v>7.6000000000000026E-2</c:v>
                </c:pt>
                <c:pt idx="14">
                  <c:v>7.8000000000000028E-2</c:v>
                </c:pt>
                <c:pt idx="15">
                  <c:v>8.0000000000000029E-2</c:v>
                </c:pt>
                <c:pt idx="16">
                  <c:v>8.2000000000000031E-2</c:v>
                </c:pt>
                <c:pt idx="17">
                  <c:v>8.4000000000000033E-2</c:v>
                </c:pt>
                <c:pt idx="18">
                  <c:v>8.6000000000000035E-2</c:v>
                </c:pt>
                <c:pt idx="19">
                  <c:v>8.8000000000000037E-2</c:v>
                </c:pt>
                <c:pt idx="20">
                  <c:v>9.0000000000000038E-2</c:v>
                </c:pt>
                <c:pt idx="21">
                  <c:v>9.200000000000004E-2</c:v>
                </c:pt>
                <c:pt idx="22">
                  <c:v>9.4000000000000042E-2</c:v>
                </c:pt>
                <c:pt idx="23">
                  <c:v>9.6000000000000044E-2</c:v>
                </c:pt>
                <c:pt idx="24">
                  <c:v>9.8000000000000045E-2</c:v>
                </c:pt>
                <c:pt idx="25">
                  <c:v>0.10000000000000005</c:v>
                </c:pt>
              </c:numCache>
            </c:numRef>
          </c:xVal>
          <c:yVal>
            <c:numRef>
              <c:f>Duration!$B$51:$AA$51</c:f>
              <c:numCache>
                <c:formatCode>#,##0.00</c:formatCode>
                <c:ptCount val="26"/>
                <c:pt idx="0">
                  <c:v>15.093904066620144</c:v>
                </c:pt>
                <c:pt idx="1">
                  <c:v>14.899532012491015</c:v>
                </c:pt>
                <c:pt idx="2">
                  <c:v>14.706551369949528</c:v>
                </c:pt>
                <c:pt idx="3">
                  <c:v>14.515049077574023</c:v>
                </c:pt>
                <c:pt idx="4">
                  <c:v>14.325108334601195</c:v>
                </c:pt>
                <c:pt idx="5">
                  <c:v>14.136808489427219</c:v>
                </c:pt>
                <c:pt idx="6">
                  <c:v>13.950224945872701</c:v>
                </c:pt>
                <c:pt idx="7">
                  <c:v>13.7654290870707</c:v>
                </c:pt>
                <c:pt idx="8">
                  <c:v>13.582488216720654</c:v>
                </c:pt>
                <c:pt idx="9">
                  <c:v>13.40146551734057</c:v>
                </c:pt>
                <c:pt idx="10">
                  <c:v>13.222420025049713</c:v>
                </c:pt>
                <c:pt idx="11">
                  <c:v>13.04540662032181</c:v>
                </c:pt>
                <c:pt idx="12">
                  <c:v>12.870476034067391</c:v>
                </c:pt>
                <c:pt idx="13">
                  <c:v>12.697674868331799</c:v>
                </c:pt>
                <c:pt idx="14">
                  <c:v>12.527045630834131</c:v>
                </c:pt>
                <c:pt idx="15">
                  <c:v>12.358626782520888</c:v>
                </c:pt>
                <c:pt idx="16">
                  <c:v>12.192452797267057</c:v>
                </c:pt>
                <c:pt idx="17">
                  <c:v>12.028554232825927</c:v>
                </c:pt>
                <c:pt idx="18">
                  <c:v>11.866957812107243</c:v>
                </c:pt>
                <c:pt idx="19">
                  <c:v>11.707686513850573</c:v>
                </c:pt>
                <c:pt idx="20">
                  <c:v>11.550759671756508</c:v>
                </c:pt>
                <c:pt idx="21">
                  <c:v>11.396193081142215</c:v>
                </c:pt>
                <c:pt idx="22">
                  <c:v>11.243999112198784</c:v>
                </c:pt>
                <c:pt idx="23">
                  <c:v>11.094186828945645</c:v>
                </c:pt>
                <c:pt idx="24">
                  <c:v>10.946762113001045</c:v>
                </c:pt>
                <c:pt idx="25">
                  <c:v>10.801727791316114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C4-47F2-9B28-1C420216FF7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Duration!$B$50:$AA$50</c:f>
              <c:numCache>
                <c:formatCode>0.00%</c:formatCode>
                <c:ptCount val="26"/>
                <c:pt idx="0">
                  <c:v>0.05</c:v>
                </c:pt>
                <c:pt idx="1">
                  <c:v>5.2000000000000005E-2</c:v>
                </c:pt>
                <c:pt idx="2">
                  <c:v>5.4000000000000006E-2</c:v>
                </c:pt>
                <c:pt idx="3">
                  <c:v>5.6000000000000008E-2</c:v>
                </c:pt>
                <c:pt idx="4">
                  <c:v>5.800000000000001E-2</c:v>
                </c:pt>
                <c:pt idx="5">
                  <c:v>6.0000000000000012E-2</c:v>
                </c:pt>
                <c:pt idx="6">
                  <c:v>6.2000000000000013E-2</c:v>
                </c:pt>
                <c:pt idx="7">
                  <c:v>6.4000000000000015E-2</c:v>
                </c:pt>
                <c:pt idx="8">
                  <c:v>6.6000000000000017E-2</c:v>
                </c:pt>
                <c:pt idx="9">
                  <c:v>6.8000000000000019E-2</c:v>
                </c:pt>
                <c:pt idx="10">
                  <c:v>7.0000000000000021E-2</c:v>
                </c:pt>
                <c:pt idx="11">
                  <c:v>7.2000000000000022E-2</c:v>
                </c:pt>
                <c:pt idx="12">
                  <c:v>7.4000000000000024E-2</c:v>
                </c:pt>
                <c:pt idx="13">
                  <c:v>7.6000000000000026E-2</c:v>
                </c:pt>
                <c:pt idx="14">
                  <c:v>7.8000000000000028E-2</c:v>
                </c:pt>
                <c:pt idx="15">
                  <c:v>8.0000000000000029E-2</c:v>
                </c:pt>
                <c:pt idx="16">
                  <c:v>8.2000000000000031E-2</c:v>
                </c:pt>
                <c:pt idx="17">
                  <c:v>8.4000000000000033E-2</c:v>
                </c:pt>
                <c:pt idx="18">
                  <c:v>8.6000000000000035E-2</c:v>
                </c:pt>
                <c:pt idx="19">
                  <c:v>8.8000000000000037E-2</c:v>
                </c:pt>
                <c:pt idx="20">
                  <c:v>9.0000000000000038E-2</c:v>
                </c:pt>
                <c:pt idx="21">
                  <c:v>9.200000000000004E-2</c:v>
                </c:pt>
                <c:pt idx="22">
                  <c:v>9.4000000000000042E-2</c:v>
                </c:pt>
                <c:pt idx="23">
                  <c:v>9.6000000000000044E-2</c:v>
                </c:pt>
                <c:pt idx="24">
                  <c:v>9.8000000000000045E-2</c:v>
                </c:pt>
                <c:pt idx="25">
                  <c:v>0.10000000000000005</c:v>
                </c:pt>
              </c:numCache>
            </c:numRef>
          </c:xVal>
          <c:yVal>
            <c:numRef>
              <c:f>Duration!$B$78:$AA$78</c:f>
              <c:numCache>
                <c:formatCode>#,##0.00</c:formatCode>
                <c:ptCount val="26"/>
                <c:pt idx="0">
                  <c:v>2.809427084203973</c:v>
                </c:pt>
                <c:pt idx="1">
                  <c:v>2.8088871372227966</c:v>
                </c:pt>
                <c:pt idx="2">
                  <c:v>2.8083467358248444</c:v>
                </c:pt>
                <c:pt idx="3">
                  <c:v>2.8078058812639037</c:v>
                </c:pt>
                <c:pt idx="4">
                  <c:v>2.8072645747932103</c:v>
                </c:pt>
                <c:pt idx="5">
                  <c:v>2.8067228176654448</c:v>
                </c:pt>
                <c:pt idx="6">
                  <c:v>2.8061806111327274</c:v>
                </c:pt>
                <c:pt idx="7">
                  <c:v>2.8056379564466121</c:v>
                </c:pt>
                <c:pt idx="8">
                  <c:v>2.8050948548580834</c:v>
                </c:pt>
                <c:pt idx="9">
                  <c:v>2.8045513076175501</c:v>
                </c:pt>
                <c:pt idx="10">
                  <c:v>2.8040073159748431</c:v>
                </c:pt>
                <c:pt idx="11">
                  <c:v>2.8034628811792075</c:v>
                </c:pt>
                <c:pt idx="12">
                  <c:v>2.8029180044792974</c:v>
                </c:pt>
                <c:pt idx="13">
                  <c:v>2.8023726871231753</c:v>
                </c:pt>
                <c:pt idx="14">
                  <c:v>2.8018269303583043</c:v>
                </c:pt>
                <c:pt idx="15">
                  <c:v>2.8012807354315434</c:v>
                </c:pt>
                <c:pt idx="16">
                  <c:v>2.8007341035891442</c:v>
                </c:pt>
                <c:pt idx="17">
                  <c:v>2.800187036076744</c:v>
                </c:pt>
                <c:pt idx="18">
                  <c:v>2.7996395341393647</c:v>
                </c:pt>
                <c:pt idx="19">
                  <c:v>2.7990915990214047</c:v>
                </c:pt>
                <c:pt idx="20">
                  <c:v>2.7985432319666343</c:v>
                </c:pt>
                <c:pt idx="21">
                  <c:v>2.7979944342181953</c:v>
                </c:pt>
                <c:pt idx="22">
                  <c:v>2.7974452070185918</c:v>
                </c:pt>
                <c:pt idx="23">
                  <c:v>2.7968955516096865</c:v>
                </c:pt>
                <c:pt idx="24">
                  <c:v>2.7963454692326981</c:v>
                </c:pt>
                <c:pt idx="25">
                  <c:v>2.7957949611281951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C4-47F2-9B28-1C420216F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076624"/>
        <c:axId val="660573408"/>
      </c:scatterChart>
      <c:valAx>
        <c:axId val="505076624"/>
        <c:scaling>
          <c:orientation val="minMax"/>
          <c:max val="0.1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60573408"/>
        <c:crosses val="autoZero"/>
        <c:crossBetween val="midCat"/>
      </c:valAx>
      <c:valAx>
        <c:axId val="6605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0507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51</xdr:row>
      <xdr:rowOff>0</xdr:rowOff>
    </xdr:from>
    <xdr:to>
      <xdr:col>7</xdr:col>
      <xdr:colOff>635000</xdr:colOff>
      <xdr:row>67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CCC51-0607-43CB-BE34-63C2CC85F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51</xdr:row>
      <xdr:rowOff>0</xdr:rowOff>
    </xdr:from>
    <xdr:to>
      <xdr:col>13</xdr:col>
      <xdr:colOff>635000</xdr:colOff>
      <xdr:row>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3E02A2-9D5E-4579-99A1-A0ACBA980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7</xdr:col>
      <xdr:colOff>235083</xdr:colOff>
      <xdr:row>31</xdr:row>
      <xdr:rowOff>139734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4B2A30-CAB9-4662-B8E0-4581BDB92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4838700"/>
          <a:ext cx="2597283" cy="654084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7</xdr:col>
      <xdr:colOff>635000</xdr:colOff>
      <xdr:row>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ACAABE-305B-4AEB-89C2-290789C66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51</xdr:row>
      <xdr:rowOff>0</xdr:rowOff>
    </xdr:from>
    <xdr:to>
      <xdr:col>13</xdr:col>
      <xdr:colOff>635000</xdr:colOff>
      <xdr:row>67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65E03C-DCCE-435F-B56D-CFEEC40C2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E46D-90CD-49C4-A6BD-C84843729316}">
  <dimension ref="A1:AE91"/>
  <sheetViews>
    <sheetView tabSelected="1" workbookViewId="0">
      <pane ySplit="8" topLeftCell="A9" activePane="bottomLeft" state="frozen"/>
      <selection pane="bottomLeft" activeCell="D23" sqref="D23"/>
    </sheetView>
  </sheetViews>
  <sheetFormatPr defaultRowHeight="13.5" x14ac:dyDescent="0.35"/>
  <cols>
    <col min="1" max="1" width="15.8984375" bestFit="1" customWidth="1"/>
    <col min="2" max="3" width="12.3984375" bestFit="1" customWidth="1"/>
    <col min="4" max="6" width="12.3984375" customWidth="1"/>
    <col min="7" max="27" width="12.3984375" bestFit="1" customWidth="1"/>
    <col min="28" max="28" width="2.69921875" customWidth="1"/>
    <col min="29" max="31" width="12.3984375" bestFit="1" customWidth="1"/>
  </cols>
  <sheetData>
    <row r="1" spans="1:7" x14ac:dyDescent="0.35">
      <c r="A1" s="3" t="s">
        <v>0</v>
      </c>
      <c r="B1" s="4">
        <v>45152</v>
      </c>
    </row>
    <row r="2" spans="1:7" x14ac:dyDescent="0.35">
      <c r="A2" s="3" t="s">
        <v>1</v>
      </c>
      <c r="B2" s="4">
        <v>48805</v>
      </c>
    </row>
    <row r="3" spans="1:7" x14ac:dyDescent="0.35">
      <c r="A3" s="3" t="s">
        <v>2</v>
      </c>
      <c r="B3" s="12">
        <v>7.1800000000000003E-2</v>
      </c>
    </row>
    <row r="4" spans="1:7" x14ac:dyDescent="0.35">
      <c r="A4" s="3" t="s">
        <v>3</v>
      </c>
      <c r="B4" s="12">
        <v>7.1999999999999995E-2</v>
      </c>
    </row>
    <row r="5" spans="1:7" x14ac:dyDescent="0.35">
      <c r="A5" s="3" t="s">
        <v>4</v>
      </c>
      <c r="B5" s="5">
        <v>100</v>
      </c>
    </row>
    <row r="6" spans="1:7" x14ac:dyDescent="0.35">
      <c r="A6" s="3" t="s">
        <v>5</v>
      </c>
      <c r="B6" s="6">
        <v>1</v>
      </c>
    </row>
    <row r="7" spans="1:7" x14ac:dyDescent="0.35">
      <c r="A7" s="3" t="s">
        <v>6</v>
      </c>
      <c r="B7" s="6">
        <v>4</v>
      </c>
    </row>
    <row r="8" spans="1:7" x14ac:dyDescent="0.35">
      <c r="A8" s="8" t="s">
        <v>7</v>
      </c>
      <c r="B8" s="9">
        <f>PRICE(B1,B2,B3,B4,B5,B6,B7)</f>
        <v>99.860817886920501</v>
      </c>
    </row>
    <row r="9" spans="1:7" ht="15.5" x14ac:dyDescent="0.35">
      <c r="A9" s="6" t="s">
        <v>8</v>
      </c>
      <c r="B9" s="1" t="s">
        <v>9</v>
      </c>
      <c r="C9" s="2" t="s">
        <v>10</v>
      </c>
      <c r="D9" s="2" t="s">
        <v>14</v>
      </c>
      <c r="E9" s="2" t="s">
        <v>13</v>
      </c>
      <c r="F9" s="2" t="s">
        <v>11</v>
      </c>
      <c r="G9" s="2" t="s">
        <v>11</v>
      </c>
    </row>
    <row r="10" spans="1:7" x14ac:dyDescent="0.35">
      <c r="A10" s="2">
        <v>0</v>
      </c>
      <c r="B10" s="10">
        <f>B1</f>
        <v>45152</v>
      </c>
      <c r="C10" s="7">
        <f>-1*(YEARFRAC($B$1,DATE(YEAR($B$2)-(10-$A10),MONTH($B$2), DAY($B$2)),4)*$B$3*$B$5+$B$8)</f>
        <v>-99.860817886920501</v>
      </c>
      <c r="D10" s="7">
        <f>$C10*POWER(1+$B$4,YEARFRAC($B10,$B$18,4))^IF($B$18&gt;=$B10,1,-1)</f>
        <v>-174.16199930508836</v>
      </c>
      <c r="E10" s="7">
        <f t="shared" ref="E10:E18" si="0">$C10*POWER(1+$B$4,YEARFRAC($B10,$B$19,4))^IF($B$19&gt;=$B10,1,-1)</f>
        <v>-186.70166325505474</v>
      </c>
      <c r="F10" s="7">
        <f>$C10*POWER(1+$B$4,YEARFRAC($B10,$B$20,4))^IF($B$20&gt;=$B10,1,-1)</f>
        <v>-200.14418300941873</v>
      </c>
      <c r="G10" s="7">
        <f>$C10*POWER(1+$B$4,YEARFRAC($B10,$B$20,4))</f>
        <v>-200.14418300941873</v>
      </c>
    </row>
    <row r="11" spans="1:7" x14ac:dyDescent="0.35">
      <c r="A11" s="2">
        <v>1</v>
      </c>
      <c r="B11" s="10">
        <f>DATE(YEAR($B$2)-(10-$A11),MONTH($B$2), DAY($B$2))</f>
        <v>45518</v>
      </c>
      <c r="C11" s="7">
        <f>IF(B11=$B$2,$B$5*(1+$B$3),$B$5*$B$3)</f>
        <v>7.1800000000000006</v>
      </c>
      <c r="D11" s="7">
        <f t="shared" ref="D11:D20" si="1">$C11*POWER(1+$B$4,YEARFRAC($B11,$B$18,4))^IF($B$18&gt;=$B11,1,-1)</f>
        <v>11.681212963238295</v>
      </c>
      <c r="E11" s="7">
        <f t="shared" si="0"/>
        <v>12.522260296591456</v>
      </c>
      <c r="F11" s="7">
        <f t="shared" ref="F11:F20" si="2">$C11*POWER(1+$B$4,YEARFRAC($B11,$B$20,4))^IF($B$20&gt;=$B11,1,-1)</f>
        <v>13.423863037946042</v>
      </c>
      <c r="G11" s="7">
        <f t="shared" ref="G11:G20" si="3">$C11*POWER(1+$B$4,YEARFRAC($B11,$B$20,4))</f>
        <v>13.423863037946042</v>
      </c>
    </row>
    <row r="12" spans="1:7" x14ac:dyDescent="0.35">
      <c r="A12" s="2">
        <v>2</v>
      </c>
      <c r="B12" s="10">
        <f t="shared" ref="B12:B20" si="4">DATE(YEAR($B$2)-(10-$A12),MONTH($B$2), DAY($B$2))</f>
        <v>45883</v>
      </c>
      <c r="C12" s="7">
        <f t="shared" ref="C12:C20" si="5">IF(B12=$B$2,$B$5*(1+$B$3),$B$5*$B$3)</f>
        <v>7.1800000000000006</v>
      </c>
      <c r="D12" s="7">
        <f t="shared" si="1"/>
        <v>10.896653883617812</v>
      </c>
      <c r="E12" s="7">
        <f t="shared" si="0"/>
        <v>11.681212963238295</v>
      </c>
      <c r="F12" s="7">
        <f t="shared" si="2"/>
        <v>12.522260296591456</v>
      </c>
      <c r="G12" s="7">
        <f t="shared" si="3"/>
        <v>12.522260296591456</v>
      </c>
    </row>
    <row r="13" spans="1:7" x14ac:dyDescent="0.35">
      <c r="A13" s="2">
        <v>3</v>
      </c>
      <c r="B13" s="10">
        <f t="shared" si="4"/>
        <v>46248</v>
      </c>
      <c r="C13" s="7">
        <f t="shared" si="5"/>
        <v>7.1800000000000006</v>
      </c>
      <c r="D13" s="7">
        <f t="shared" si="1"/>
        <v>10.164789070539003</v>
      </c>
      <c r="E13" s="7">
        <f t="shared" si="0"/>
        <v>10.896653883617812</v>
      </c>
      <c r="F13" s="7">
        <f t="shared" si="2"/>
        <v>11.681212963238295</v>
      </c>
      <c r="G13" s="7">
        <f t="shared" si="3"/>
        <v>11.681212963238295</v>
      </c>
    </row>
    <row r="14" spans="1:7" x14ac:dyDescent="0.35">
      <c r="A14" s="2">
        <v>4</v>
      </c>
      <c r="B14" s="10">
        <f t="shared" si="4"/>
        <v>46613</v>
      </c>
      <c r="C14" s="7">
        <f t="shared" si="5"/>
        <v>7.1800000000000006</v>
      </c>
      <c r="D14" s="7">
        <f t="shared" si="1"/>
        <v>9.4820793568460839</v>
      </c>
      <c r="E14" s="7">
        <f t="shared" si="0"/>
        <v>10.164789070539003</v>
      </c>
      <c r="F14" s="7">
        <f t="shared" si="2"/>
        <v>10.896653883617812</v>
      </c>
      <c r="G14" s="7">
        <f t="shared" si="3"/>
        <v>10.896653883617812</v>
      </c>
    </row>
    <row r="15" spans="1:7" x14ac:dyDescent="0.35">
      <c r="A15" s="2">
        <v>5</v>
      </c>
      <c r="B15" s="10">
        <f t="shared" si="4"/>
        <v>46979</v>
      </c>
      <c r="C15" s="7">
        <f t="shared" si="5"/>
        <v>7.1800000000000006</v>
      </c>
      <c r="D15" s="7">
        <f t="shared" si="1"/>
        <v>8.8452232806400026</v>
      </c>
      <c r="E15" s="7">
        <f t="shared" si="0"/>
        <v>9.4820793568460839</v>
      </c>
      <c r="F15" s="7">
        <f t="shared" si="2"/>
        <v>10.164789070539003</v>
      </c>
      <c r="G15" s="7">
        <f t="shared" si="3"/>
        <v>10.164789070539003</v>
      </c>
    </row>
    <row r="16" spans="1:7" x14ac:dyDescent="0.35">
      <c r="A16" s="2">
        <v>6</v>
      </c>
      <c r="B16" s="10">
        <f t="shared" si="4"/>
        <v>47344</v>
      </c>
      <c r="C16" s="7">
        <f t="shared" si="5"/>
        <v>7.1800000000000006</v>
      </c>
      <c r="D16" s="7">
        <f t="shared" si="1"/>
        <v>8.2511411200000015</v>
      </c>
      <c r="E16" s="7">
        <f t="shared" si="0"/>
        <v>8.8452232806400026</v>
      </c>
      <c r="F16" s="7">
        <f t="shared" si="2"/>
        <v>9.4820793568460839</v>
      </c>
      <c r="G16" s="7">
        <f t="shared" si="3"/>
        <v>9.4820793568460839</v>
      </c>
    </row>
    <row r="17" spans="1:7" x14ac:dyDescent="0.35">
      <c r="A17" s="2">
        <v>7</v>
      </c>
      <c r="B17" s="10">
        <f t="shared" si="4"/>
        <v>47709</v>
      </c>
      <c r="C17" s="7">
        <f t="shared" si="5"/>
        <v>7.1800000000000006</v>
      </c>
      <c r="D17" s="7">
        <f t="shared" si="1"/>
        <v>7.6969600000000007</v>
      </c>
      <c r="E17" s="7">
        <f t="shared" si="0"/>
        <v>8.2511411200000015</v>
      </c>
      <c r="F17" s="7">
        <f t="shared" si="2"/>
        <v>8.8452232806400026</v>
      </c>
      <c r="G17" s="7">
        <f t="shared" si="3"/>
        <v>8.8452232806400026</v>
      </c>
    </row>
    <row r="18" spans="1:7" x14ac:dyDescent="0.35">
      <c r="A18" s="2">
        <v>8</v>
      </c>
      <c r="B18" s="10">
        <f t="shared" si="4"/>
        <v>48074</v>
      </c>
      <c r="C18" s="7">
        <f t="shared" si="5"/>
        <v>7.1800000000000006</v>
      </c>
      <c r="D18" s="7">
        <f t="shared" si="1"/>
        <v>7.1800000000000006</v>
      </c>
      <c r="E18" s="7">
        <f t="shared" si="0"/>
        <v>7.6969600000000007</v>
      </c>
      <c r="F18" s="7">
        <f t="shared" si="2"/>
        <v>8.2511411200000015</v>
      </c>
      <c r="G18" s="7">
        <f t="shared" si="3"/>
        <v>8.2511411200000015</v>
      </c>
    </row>
    <row r="19" spans="1:7" x14ac:dyDescent="0.35">
      <c r="A19" s="2">
        <v>9</v>
      </c>
      <c r="B19" s="10">
        <f t="shared" si="4"/>
        <v>48440</v>
      </c>
      <c r="C19" s="7">
        <f t="shared" si="5"/>
        <v>7.1800000000000006</v>
      </c>
      <c r="D19" s="7">
        <f t="shared" si="1"/>
        <v>6.6977611940298507</v>
      </c>
      <c r="E19" s="7">
        <f>$C19*POWER(1+$B$4,YEARFRAC($B19,$B$19,4))^IF($B$19&gt;=$B19,1,-1)</f>
        <v>7.1800000000000006</v>
      </c>
      <c r="F19" s="7">
        <f t="shared" si="2"/>
        <v>7.6969600000000007</v>
      </c>
      <c r="G19" s="7">
        <f t="shared" si="3"/>
        <v>7.6969600000000007</v>
      </c>
    </row>
    <row r="20" spans="1:7" x14ac:dyDescent="0.35">
      <c r="A20" s="2">
        <v>10</v>
      </c>
      <c r="B20" s="10">
        <f t="shared" si="4"/>
        <v>48805</v>
      </c>
      <c r="C20" s="7">
        <f t="shared" si="5"/>
        <v>107.18</v>
      </c>
      <c r="D20" s="7">
        <f t="shared" si="1"/>
        <v>93.266178436177313</v>
      </c>
      <c r="E20" s="7">
        <f>$C20*POWER(1+$B$4,YEARFRAC($B20,$B$19,4))^IF($B$19&gt;=$B20,1,-1)</f>
        <v>99.981343283582092</v>
      </c>
      <c r="F20" s="7">
        <f t="shared" si="2"/>
        <v>107.18</v>
      </c>
      <c r="G20" s="7">
        <f t="shared" si="3"/>
        <v>107.18</v>
      </c>
    </row>
    <row r="22" spans="1:7" ht="14" thickBot="1" x14ac:dyDescent="0.4">
      <c r="D22" s="13">
        <f>SUM(D10:D20)</f>
        <v>0</v>
      </c>
      <c r="E22" s="13">
        <f>SUM(E10:E20)</f>
        <v>0</v>
      </c>
      <c r="F22" s="13">
        <f>SUM(F10:F20)</f>
        <v>0</v>
      </c>
      <c r="G22" s="13">
        <f>SUM(G10:G20)</f>
        <v>0</v>
      </c>
    </row>
    <row r="23" spans="1:7" ht="14" thickTop="1" x14ac:dyDescent="0.35">
      <c r="B23" s="14" t="s">
        <v>12</v>
      </c>
      <c r="C23" s="11">
        <f>XIRR(C10:C20,$B10:$B20,7%)</f>
        <v>7.1936271786689765E-2</v>
      </c>
      <c r="D23" s="11">
        <f>POWER(SUM(D11:D20)/-$C10,1/8)-1</f>
        <v>7.2000000000000064E-2</v>
      </c>
      <c r="E23" s="11">
        <f>POWER(SUM(E11:E20)/-$C10,1/9)-1</f>
        <v>7.2000000000000064E-2</v>
      </c>
      <c r="F23" s="11">
        <f>POWER(SUM(F11:F20)/-$C10,1/10)-1</f>
        <v>7.2000000000000064E-2</v>
      </c>
      <c r="G23" s="11">
        <f>POWER(SUM(G11:G20)/-$C10,1/10)-1</f>
        <v>7.2000000000000064E-2</v>
      </c>
    </row>
    <row r="50" spans="1:31" x14ac:dyDescent="0.35">
      <c r="A50" s="7">
        <f>B8</f>
        <v>99.860817886920501</v>
      </c>
      <c r="B50" s="15">
        <v>0.05</v>
      </c>
      <c r="C50" s="15">
        <v>5.2000000000000005E-2</v>
      </c>
      <c r="D50" s="15">
        <v>5.4000000000000006E-2</v>
      </c>
      <c r="E50" s="15">
        <v>5.6000000000000008E-2</v>
      </c>
      <c r="F50" s="15">
        <v>5.800000000000001E-2</v>
      </c>
      <c r="G50" s="15">
        <v>6.0000000000000012E-2</v>
      </c>
      <c r="H50" s="15">
        <v>6.2000000000000013E-2</v>
      </c>
      <c r="I50" s="15">
        <v>6.4000000000000015E-2</v>
      </c>
      <c r="J50" s="15">
        <v>6.6000000000000017E-2</v>
      </c>
      <c r="K50" s="15">
        <v>6.8000000000000019E-2</v>
      </c>
      <c r="L50" s="15">
        <v>7.0000000000000021E-2</v>
      </c>
      <c r="M50" s="15">
        <v>7.2000000000000022E-2</v>
      </c>
      <c r="N50" s="15">
        <v>7.4000000000000024E-2</v>
      </c>
      <c r="O50" s="15">
        <v>7.6000000000000026E-2</v>
      </c>
      <c r="P50" s="15">
        <v>7.8000000000000028E-2</v>
      </c>
      <c r="Q50" s="15">
        <v>8.0000000000000029E-2</v>
      </c>
      <c r="R50" s="15">
        <v>8.2000000000000031E-2</v>
      </c>
      <c r="S50" s="15">
        <v>8.4000000000000033E-2</v>
      </c>
      <c r="T50" s="15">
        <v>8.6000000000000035E-2</v>
      </c>
      <c r="U50" s="15">
        <v>8.8000000000000037E-2</v>
      </c>
      <c r="V50" s="15">
        <v>9.0000000000000038E-2</v>
      </c>
      <c r="W50" s="15">
        <v>9.200000000000004E-2</v>
      </c>
      <c r="X50" s="15">
        <v>9.4000000000000042E-2</v>
      </c>
      <c r="Y50" s="15">
        <v>9.6000000000000044E-2</v>
      </c>
      <c r="Z50" s="15">
        <v>9.8000000000000045E-2</v>
      </c>
      <c r="AA50" s="15">
        <v>0.10000000000000005</v>
      </c>
    </row>
    <row r="51" spans="1:31" x14ac:dyDescent="0.35">
      <c r="A51" s="16">
        <v>45152</v>
      </c>
      <c r="B51" s="7">
        <f t="dataTable" ref="B51:AA91" dt2D="1" dtr="1" r1="B4" r2="B1"/>
        <v>116.83338214562289</v>
      </c>
      <c r="C51" s="7">
        <v>115.14162184888332</v>
      </c>
      <c r="D51" s="7">
        <v>113.48156430104244</v>
      </c>
      <c r="E51" s="7">
        <v>111.85253098940267</v>
      </c>
      <c r="F51" s="7">
        <v>110.25385942278569</v>
      </c>
      <c r="G51" s="7">
        <v>108.6849027206693</v>
      </c>
      <c r="H51" s="7">
        <v>107.14502921366076</v>
      </c>
      <c r="I51" s="7">
        <v>105.63362205497003</v>
      </c>
      <c r="J51" s="7">
        <v>104.15007884256158</v>
      </c>
      <c r="K51" s="7">
        <v>102.69381125166852</v>
      </c>
      <c r="L51" s="7">
        <v>101.26424467736787</v>
      </c>
      <c r="M51" s="7">
        <v>99.860817886920501</v>
      </c>
      <c r="N51" s="7">
        <v>98.48298268159246</v>
      </c>
      <c r="O51" s="7">
        <v>97.130203567678947</v>
      </c>
      <c r="P51" s="7">
        <v>95.801957436465955</v>
      </c>
      <c r="Q51" s="7">
        <v>94.497733252867988</v>
      </c>
      <c r="R51" s="7">
        <v>93.217031752491224</v>
      </c>
      <c r="S51" s="7">
        <v>91.959365146878511</v>
      </c>
      <c r="T51" s="7">
        <v>90.724256836699496</v>
      </c>
      <c r="U51" s="7">
        <v>89.511241132657474</v>
      </c>
      <c r="V51" s="7">
        <v>88.319862983890573</v>
      </c>
      <c r="W51" s="7">
        <v>87.149677713652096</v>
      </c>
      <c r="X51" s="7">
        <v>86.000250762062109</v>
      </c>
      <c r="Y51" s="7">
        <v>84.871157435726815</v>
      </c>
      <c r="Z51" s="7">
        <v>83.761982664031137</v>
      </c>
      <c r="AA51" s="7">
        <v>82.672320761912744</v>
      </c>
      <c r="AC51" s="21">
        <f ca="1">OFFSET($A51,0,ROW($A51)-ROW($A$50))</f>
        <v>116.83338214562289</v>
      </c>
      <c r="AD51" s="5">
        <v>100</v>
      </c>
      <c r="AE51" s="5">
        <v>100</v>
      </c>
    </row>
    <row r="52" spans="1:31" x14ac:dyDescent="0.35">
      <c r="A52" s="16">
        <v>45244</v>
      </c>
      <c r="B52" s="7">
        <v>116.47218880045149</v>
      </c>
      <c r="C52" s="7">
        <v>114.8151294465974</v>
      </c>
      <c r="D52" s="7">
        <v>113.18848475136353</v>
      </c>
      <c r="E52" s="7">
        <v>111.59161631633724</v>
      </c>
      <c r="F52" s="7">
        <v>110.02390054388187</v>
      </c>
      <c r="G52" s="7">
        <v>108.48472826404812</v>
      </c>
      <c r="H52" s="7">
        <v>106.97350437161379</v>
      </c>
      <c r="I52" s="7">
        <v>105.48964747295766</v>
      </c>
      <c r="J52" s="7">
        <v>104.03258954248247</v>
      </c>
      <c r="K52" s="7">
        <v>102.60177558831084</v>
      </c>
      <c r="L52" s="7">
        <v>101.19666332698625</v>
      </c>
      <c r="M52" s="7">
        <v>99.816722866919818</v>
      </c>
      <c r="N52" s="7">
        <v>98.461436400330982</v>
      </c>
      <c r="O52" s="7">
        <v>97.130297903438716</v>
      </c>
      <c r="P52" s="7">
        <v>95.82281284466616</v>
      </c>
      <c r="Q52" s="7">
        <v>94.538497900630347</v>
      </c>
      <c r="R52" s="7">
        <v>93.276880679694059</v>
      </c>
      <c r="S52" s="7">
        <v>92.03749945286485</v>
      </c>
      <c r="T52" s="7">
        <v>90.819902891831958</v>
      </c>
      <c r="U52" s="7">
        <v>89.623649813938741</v>
      </c>
      <c r="V52" s="7">
        <v>88.44830893389404</v>
      </c>
      <c r="W52" s="7">
        <v>87.293458622031963</v>
      </c>
      <c r="X52" s="7">
        <v>86.158686668935161</v>
      </c>
      <c r="Y52" s="7">
        <v>85.043590056242451</v>
      </c>
      <c r="Z52" s="7">
        <v>83.947774733466773</v>
      </c>
      <c r="AA52" s="7">
        <v>82.870855400655032</v>
      </c>
      <c r="AC52" s="21">
        <f t="shared" ref="AC52:AC76" ca="1" si="6">OFFSET($A52,0,ROW($A52)-ROW($A$50))</f>
        <v>114.8151294465974</v>
      </c>
      <c r="AD52" s="7">
        <f ca="1">OFFSET($A52,0,RANDBETWEEN(1,26))</f>
        <v>88.44830893389404</v>
      </c>
      <c r="AE52" s="7">
        <f ca="1">OFFSET($M$52,0,RANDBETWEEN(-2,2))</f>
        <v>99.816722866919818</v>
      </c>
    </row>
    <row r="53" spans="1:31" x14ac:dyDescent="0.35">
      <c r="A53" s="16">
        <v>45336</v>
      </c>
      <c r="B53" s="7">
        <v>116.12859146667407</v>
      </c>
      <c r="C53" s="7">
        <v>114.50736627992509</v>
      </c>
      <c r="D53" s="7">
        <v>112.91528301226109</v>
      </c>
      <c r="E53" s="7">
        <v>111.3517420056981</v>
      </c>
      <c r="F53" s="7">
        <v>109.81615724748505</v>
      </c>
      <c r="G53" s="7">
        <v>108.30795603211629</v>
      </c>
      <c r="H53" s="7">
        <v>106.82657863237013</v>
      </c>
      <c r="I53" s="7">
        <v>105.37147797911518</v>
      </c>
      <c r="J53" s="7">
        <v>103.9421193496342</v>
      </c>
      <c r="K53" s="7">
        <v>102.53798006422278</v>
      </c>
      <c r="L53" s="7">
        <v>101.15854919082778</v>
      </c>
      <c r="M53" s="7">
        <v>99.803327257497273</v>
      </c>
      <c r="N53" s="7">
        <v>98.471825972420731</v>
      </c>
      <c r="O53" s="7">
        <v>97.163567951344817</v>
      </c>
      <c r="P53" s="7">
        <v>95.878086452157063</v>
      </c>
      <c r="Q53" s="7">
        <v>94.614925116435003</v>
      </c>
      <c r="R53" s="7">
        <v>93.37363771776532</v>
      </c>
      <c r="S53" s="7">
        <v>92.153787916643182</v>
      </c>
      <c r="T53" s="7">
        <v>90.954949021767177</v>
      </c>
      <c r="U53" s="7">
        <v>89.776703757551189</v>
      </c>
      <c r="V53" s="7">
        <v>88.61864403768007</v>
      </c>
      <c r="W53" s="7">
        <v>87.480370744540323</v>
      </c>
      <c r="X53" s="7">
        <v>86.361493514363019</v>
      </c>
      <c r="Y53" s="7">
        <v>85.261630527919976</v>
      </c>
      <c r="Z53" s="7">
        <v>84.18040830661991</v>
      </c>
      <c r="AA53" s="7">
        <v>83.117461513855034</v>
      </c>
      <c r="AC53" s="21">
        <f t="shared" ca="1" si="6"/>
        <v>112.91528301226109</v>
      </c>
      <c r="AD53" s="7">
        <f t="shared" ref="AD53:AD91" ca="1" si="7">OFFSET($A53,0,RANDBETWEEN(1,26))</f>
        <v>85.261630527919976</v>
      </c>
      <c r="AE53" s="7">
        <f t="shared" ref="AE53:AE90" ca="1" si="8">OFFSET($M$52,0,RANDBETWEEN(-2,2))</f>
        <v>99.816722866919818</v>
      </c>
    </row>
    <row r="54" spans="1:31" x14ac:dyDescent="0.35">
      <c r="A54" s="16">
        <v>45426</v>
      </c>
      <c r="B54" s="7">
        <v>115.80280608666745</v>
      </c>
      <c r="C54" s="7">
        <v>114.21857122013087</v>
      </c>
      <c r="D54" s="7">
        <v>112.66222216514741</v>
      </c>
      <c r="E54" s="7">
        <v>111.13319663129745</v>
      </c>
      <c r="F54" s="7">
        <v>109.6309448812877</v>
      </c>
      <c r="G54" s="7">
        <v>108.15492942551897</v>
      </c>
      <c r="H54" s="7">
        <v>106.70462472467516</v>
      </c>
      <c r="I54" s="7">
        <v>105.27951690010757</v>
      </c>
      <c r="J54" s="7">
        <v>103.87910345179567</v>
      </c>
      <c r="K54" s="7">
        <v>102.50289298367166</v>
      </c>
      <c r="L54" s="7">
        <v>101.15040493610296</v>
      </c>
      <c r="M54" s="7">
        <v>99.821169325332519</v>
      </c>
      <c r="N54" s="7">
        <v>98.514726489683028</v>
      </c>
      <c r="O54" s="7">
        <v>97.230626842336676</v>
      </c>
      <c r="P54" s="7">
        <v>95.968430630508081</v>
      </c>
      <c r="Q54" s="7">
        <v>94.727707700832909</v>
      </c>
      <c r="R54" s="7">
        <v>93.50803727080006</v>
      </c>
      <c r="S54" s="7">
        <v>92.309007706061081</v>
      </c>
      <c r="T54" s="7">
        <v>91.130216303454048</v>
      </c>
      <c r="U54" s="7">
        <v>89.971269079585298</v>
      </c>
      <c r="V54" s="7">
        <v>88.831780564815958</v>
      </c>
      <c r="W54" s="7">
        <v>87.711373602505361</v>
      </c>
      <c r="X54" s="7">
        <v>86.609679153367367</v>
      </c>
      <c r="Y54" s="7">
        <v>85.526336104800023</v>
      </c>
      <c r="Z54" s="7">
        <v>84.460991085053124</v>
      </c>
      <c r="AA54" s="7">
        <v>83.413298282101621</v>
      </c>
      <c r="AC54" s="21">
        <f t="shared" ca="1" si="6"/>
        <v>111.13319663129745</v>
      </c>
      <c r="AD54" s="7">
        <f t="shared" ca="1" si="7"/>
        <v>111.13319663129745</v>
      </c>
      <c r="AE54" s="7">
        <f t="shared" ca="1" si="8"/>
        <v>97.130297903438716</v>
      </c>
    </row>
    <row r="55" spans="1:31" x14ac:dyDescent="0.35">
      <c r="A55" s="16">
        <v>45518</v>
      </c>
      <c r="B55" s="7">
        <v>115.49505125290403</v>
      </c>
      <c r="C55" s="7">
        <v>113.94898618502525</v>
      </c>
      <c r="D55" s="7">
        <v>112.42956877329873</v>
      </c>
      <c r="E55" s="7">
        <v>110.93627272480921</v>
      </c>
      <c r="F55" s="7">
        <v>109.46858326930727</v>
      </c>
      <c r="G55" s="7">
        <v>108.02599688390947</v>
      </c>
      <c r="H55" s="7">
        <v>106.60802102490771</v>
      </c>
      <c r="I55" s="7">
        <v>105.21417386648812</v>
      </c>
      <c r="J55" s="7">
        <v>103.84398404617065</v>
      </c>
      <c r="K55" s="7">
        <v>102.49699041678198</v>
      </c>
      <c r="L55" s="7">
        <v>101.17274180478361</v>
      </c>
      <c r="M55" s="7">
        <v>99.870796774778796</v>
      </c>
      <c r="N55" s="7">
        <v>98.590723400030299</v>
      </c>
      <c r="O55" s="7">
        <v>97.332099038822548</v>
      </c>
      <c r="P55" s="7">
        <v>96.094510116510307</v>
      </c>
      <c r="Q55" s="7">
        <v>94.87755191309742</v>
      </c>
      <c r="R55" s="7">
        <v>93.680828356195505</v>
      </c>
      <c r="S55" s="7">
        <v>92.503951819216311</v>
      </c>
      <c r="T55" s="7">
        <v>91.346542924655665</v>
      </c>
      <c r="U55" s="7">
        <v>90.208230352331341</v>
      </c>
      <c r="V55" s="7">
        <v>89.088650652440748</v>
      </c>
      <c r="W55" s="7">
        <v>87.987448063308108</v>
      </c>
      <c r="X55" s="7">
        <v>86.904274333695952</v>
      </c>
      <c r="Y55" s="7">
        <v>85.838788549556597</v>
      </c>
      <c r="Z55" s="7">
        <v>84.790656965106194</v>
      </c>
      <c r="AA55" s="7">
        <v>83.759552838104042</v>
      </c>
      <c r="AC55" s="21">
        <f t="shared" ca="1" si="6"/>
        <v>109.46858326930727</v>
      </c>
      <c r="AD55" s="7">
        <f t="shared" ca="1" si="7"/>
        <v>103.84398404617065</v>
      </c>
      <c r="AE55" s="7">
        <f t="shared" ca="1" si="8"/>
        <v>99.816722866919818</v>
      </c>
    </row>
    <row r="56" spans="1:31" x14ac:dyDescent="0.35">
      <c r="A56" s="16">
        <v>45610</v>
      </c>
      <c r="B56" s="7">
        <v>115.11743359727355</v>
      </c>
      <c r="C56" s="7">
        <v>113.60728299705161</v>
      </c>
      <c r="D56" s="7">
        <v>112.12256613746486</v>
      </c>
      <c r="E56" s="7">
        <v>110.662791341389</v>
      </c>
      <c r="F56" s="7">
        <v>109.22747748381853</v>
      </c>
      <c r="G56" s="7">
        <v>107.81615374440003</v>
      </c>
      <c r="H56" s="7">
        <v>106.42835936624446</v>
      </c>
      <c r="I56" s="7">
        <v>105.06364342084785</v>
      </c>
      <c r="J56" s="7">
        <v>103.72156457895348</v>
      </c>
      <c r="K56" s="7">
        <v>102.40169088719483</v>
      </c>
      <c r="L56" s="7">
        <v>101.10359955036229</v>
      </c>
      <c r="M56" s="7">
        <v>99.826876719141652</v>
      </c>
      <c r="N56" s="7">
        <v>98.571117283176633</v>
      </c>
      <c r="O56" s="7">
        <v>97.335924669312007</v>
      </c>
      <c r="P56" s="7">
        <v>96.120910644877753</v>
      </c>
      <c r="Q56" s="7">
        <v>94.925695125879358</v>
      </c>
      <c r="R56" s="7">
        <v>93.749905989962457</v>
      </c>
      <c r="S56" s="7">
        <v>92.593178894024064</v>
      </c>
      <c r="T56" s="7">
        <v>91.455157096346809</v>
      </c>
      <c r="U56" s="7">
        <v>90.335491283135028</v>
      </c>
      <c r="V56" s="7">
        <v>89.233839399336389</v>
      </c>
      <c r="W56" s="7">
        <v>88.14986648363444</v>
      </c>
      <c r="X56" s="7">
        <v>87.083244507502414</v>
      </c>
      <c r="Y56" s="7">
        <v>86.033652218210307</v>
      </c>
      <c r="Z56" s="7">
        <v>85.000774985680962</v>
      </c>
      <c r="AA56" s="7">
        <v>83.984304653094227</v>
      </c>
      <c r="AC56" s="21">
        <f t="shared" ca="1" si="6"/>
        <v>107.81615374440003</v>
      </c>
      <c r="AD56" s="7">
        <f t="shared" ca="1" si="7"/>
        <v>86.033652218210307</v>
      </c>
      <c r="AE56" s="7">
        <f t="shared" ca="1" si="8"/>
        <v>97.130297903438716</v>
      </c>
    </row>
    <row r="57" spans="1:31" x14ac:dyDescent="0.35">
      <c r="A57" s="16">
        <v>45702</v>
      </c>
      <c r="B57" s="7">
        <v>114.75721039004878</v>
      </c>
      <c r="C57" s="7">
        <v>113.28411504747328</v>
      </c>
      <c r="D57" s="7">
        <v>111.83525704115021</v>
      </c>
      <c r="E57" s="7">
        <v>110.41017796483195</v>
      </c>
      <c r="F57" s="7">
        <v>109.00842905175288</v>
      </c>
      <c r="G57" s="7">
        <v>107.62957095281462</v>
      </c>
      <c r="H57" s="7">
        <v>106.27317352030063</v>
      </c>
      <c r="I57" s="7">
        <v>104.93881559697262</v>
      </c>
      <c r="J57" s="7">
        <v>103.62608481040388</v>
      </c>
      <c r="K57" s="7">
        <v>102.33457737241039</v>
      </c>
      <c r="L57" s="7">
        <v>101.0638978834435</v>
      </c>
      <c r="M57" s="7">
        <v>99.813659141812153</v>
      </c>
      <c r="N57" s="7">
        <v>98.583481957606494</v>
      </c>
      <c r="O57" s="7">
        <v>97.372994971198239</v>
      </c>
      <c r="P57" s="7">
        <v>96.181834476196769</v>
      </c>
      <c r="Q57" s="7">
        <v>95.009644246743079</v>
      </c>
      <c r="R57" s="7">
        <v>93.856075369027593</v>
      </c>
      <c r="S57" s="7">
        <v>92.720786076920405</v>
      </c>
      <c r="T57" s="7">
        <v>91.603441591606241</v>
      </c>
      <c r="U57" s="7">
        <v>90.503713965118891</v>
      </c>
      <c r="V57" s="7">
        <v>89.421281927673505</v>
      </c>
      <c r="W57" s="7">
        <v>88.355830738697065</v>
      </c>
      <c r="X57" s="7">
        <v>87.307052041461247</v>
      </c>
      <c r="Y57" s="7">
        <v>86.274643721223413</v>
      </c>
      <c r="Z57" s="7">
        <v>85.258309766785032</v>
      </c>
      <c r="AA57" s="7">
        <v>84.257760135378845</v>
      </c>
      <c r="AC57" s="21">
        <f t="shared" ca="1" si="6"/>
        <v>106.27317352030063</v>
      </c>
      <c r="AD57" s="7">
        <f t="shared" ca="1" si="7"/>
        <v>97.372994971198239</v>
      </c>
      <c r="AE57" s="7">
        <f t="shared" ca="1" si="8"/>
        <v>97.130297903438716</v>
      </c>
    </row>
    <row r="58" spans="1:31" x14ac:dyDescent="0.35">
      <c r="A58" s="16">
        <v>45791</v>
      </c>
      <c r="B58" s="7">
        <v>114.41459509997827</v>
      </c>
      <c r="C58" s="7">
        <v>112.97971873332877</v>
      </c>
      <c r="D58" s="7">
        <v>111.56790212695277</v>
      </c>
      <c r="E58" s="7">
        <v>110.17871880505082</v>
      </c>
      <c r="F58" s="7">
        <v>108.8117510747587</v>
      </c>
      <c r="G58" s="7">
        <v>107.4665898279205</v>
      </c>
      <c r="H58" s="7">
        <v>106.14283434771447</v>
      </c>
      <c r="I58" s="7">
        <v>104.84009212000468</v>
      </c>
      <c r="J58" s="7">
        <v>103.55797864929339</v>
      </c>
      <c r="K58" s="7">
        <v>102.29611727915373</v>
      </c>
      <c r="L58" s="7">
        <v>101.05413901702524</v>
      </c>
      <c r="M58" s="7">
        <v>99.831682363257826</v>
      </c>
      <c r="N58" s="7">
        <v>98.628393144293668</v>
      </c>
      <c r="O58" s="7">
        <v>97.443924349878657</v>
      </c>
      <c r="P58" s="7">
        <v>96.277935974199096</v>
      </c>
      <c r="Q58" s="7">
        <v>95.13009486084151</v>
      </c>
      <c r="R58" s="7">
        <v>94.000074551476231</v>
      </c>
      <c r="S58" s="7">
        <v>92.887555138168835</v>
      </c>
      <c r="T58" s="7">
        <v>91.792223119225767</v>
      </c>
      <c r="U58" s="7">
        <v>90.713771258482495</v>
      </c>
      <c r="V58" s="7">
        <v>89.651898447946479</v>
      </c>
      <c r="W58" s="7">
        <v>88.606309573708145</v>
      </c>
      <c r="X58" s="7">
        <v>87.576715385036394</v>
      </c>
      <c r="Y58" s="7">
        <v>86.562832366577297</v>
      </c>
      <c r="Z58" s="7">
        <v>85.564382613576484</v>
      </c>
      <c r="AA58" s="7">
        <v>84.581093710048279</v>
      </c>
      <c r="AC58" s="21">
        <f t="shared" ca="1" si="6"/>
        <v>104.84009212000468</v>
      </c>
      <c r="AD58" s="7">
        <f t="shared" ca="1" si="7"/>
        <v>85.564382613576484</v>
      </c>
      <c r="AE58" s="7">
        <f t="shared" ca="1" si="8"/>
        <v>101.19666332698625</v>
      </c>
    </row>
    <row r="59" spans="1:31" x14ac:dyDescent="0.35">
      <c r="A59" s="16">
        <v>45883</v>
      </c>
      <c r="B59" s="7">
        <v>114.08980381554923</v>
      </c>
      <c r="C59" s="7">
        <v>112.69433346664655</v>
      </c>
      <c r="D59" s="7">
        <v>111.32076548705686</v>
      </c>
      <c r="E59" s="7">
        <v>109.96870399739853</v>
      </c>
      <c r="F59" s="7">
        <v>108.6377610989271</v>
      </c>
      <c r="G59" s="7">
        <v>107.32755669694403</v>
      </c>
      <c r="H59" s="7">
        <v>106.037718328452</v>
      </c>
      <c r="I59" s="7">
        <v>104.76788099394338</v>
      </c>
      <c r="J59" s="7">
        <v>103.51768699321792</v>
      </c>
      <c r="K59" s="7">
        <v>102.28678576512317</v>
      </c>
      <c r="L59" s="7">
        <v>101.07483373111847</v>
      </c>
      <c r="M59" s="7">
        <v>99.881494142562872</v>
      </c>
      <c r="N59" s="7">
        <v>98.706436931632538</v>
      </c>
      <c r="O59" s="7">
        <v>97.54933856577307</v>
      </c>
      <c r="P59" s="7">
        <v>96.409881905598127</v>
      </c>
      <c r="Q59" s="7">
        <v>95.287756066145221</v>
      </c>
      <c r="R59" s="7">
        <v>94.182656281403553</v>
      </c>
      <c r="S59" s="7">
        <v>93.094283772030479</v>
      </c>
      <c r="T59" s="7">
        <v>92.022345616176054</v>
      </c>
      <c r="U59" s="7">
        <v>90.966554623336506</v>
      </c>
      <c r="V59" s="7">
        <v>89.926629211160417</v>
      </c>
      <c r="W59" s="7">
        <v>88.902293285132458</v>
      </c>
      <c r="X59" s="7">
        <v>87.893276121063366</v>
      </c>
      <c r="Y59" s="7">
        <v>86.89931225031404</v>
      </c>
      <c r="Z59" s="7">
        <v>85.920141347686609</v>
      </c>
      <c r="AA59" s="7">
        <v>84.955508121914448</v>
      </c>
      <c r="AC59" s="21">
        <f t="shared" ca="1" si="6"/>
        <v>103.51768699321792</v>
      </c>
      <c r="AD59" s="7">
        <f t="shared" ca="1" si="7"/>
        <v>84.955508121914448</v>
      </c>
      <c r="AE59" s="7">
        <f t="shared" ca="1" si="8"/>
        <v>97.130297903438716</v>
      </c>
    </row>
    <row r="60" spans="1:31" x14ac:dyDescent="0.35">
      <c r="A60" s="16">
        <v>45975</v>
      </c>
      <c r="B60" s="7">
        <v>113.69494063393674</v>
      </c>
      <c r="C60" s="7">
        <v>112.33662853212944</v>
      </c>
      <c r="D60" s="7">
        <v>110.99908791841564</v>
      </c>
      <c r="E60" s="7">
        <v>109.68195216784365</v>
      </c>
      <c r="F60" s="7">
        <v>108.38486188627154</v>
      </c>
      <c r="G60" s="7">
        <v>107.10746475357305</v>
      </c>
      <c r="H60" s="7">
        <v>105.84941537054227</v>
      </c>
      <c r="I60" s="7">
        <v>104.61037510940302</v>
      </c>
      <c r="J60" s="7">
        <v>103.39001196783157</v>
      </c>
      <c r="K60" s="7">
        <v>102.18800042640294</v>
      </c>
      <c r="L60" s="7">
        <v>101.00402130937464</v>
      </c>
      <c r="M60" s="7">
        <v>99.837761648723472</v>
      </c>
      <c r="N60" s="7">
        <v>98.68891455135288</v>
      </c>
      <c r="O60" s="7">
        <v>97.557179069391665</v>
      </c>
      <c r="P60" s="7">
        <v>96.442260073505835</v>
      </c>
      <c r="Q60" s="7">
        <v>95.343868129148319</v>
      </c>
      <c r="R60" s="7">
        <v>94.261719375672854</v>
      </c>
      <c r="S60" s="7">
        <v>93.195535408240673</v>
      </c>
      <c r="T60" s="7">
        <v>92.145043162449909</v>
      </c>
      <c r="U60" s="7">
        <v>91.109974801620609</v>
      </c>
      <c r="V60" s="7">
        <v>90.090067606668541</v>
      </c>
      <c r="W60" s="7">
        <v>89.085063868504349</v>
      </c>
      <c r="X60" s="7">
        <v>88.094710782895007</v>
      </c>
      <c r="Y60" s="7">
        <v>87.118760347727076</v>
      </c>
      <c r="Z60" s="7">
        <v>86.156969262612151</v>
      </c>
      <c r="AA60" s="7">
        <v>85.209098830777336</v>
      </c>
      <c r="AC60" s="21">
        <f t="shared" ca="1" si="6"/>
        <v>102.18800042640294</v>
      </c>
      <c r="AD60" s="7">
        <f t="shared" ca="1" si="7"/>
        <v>96.442260073505835</v>
      </c>
      <c r="AE60" s="7">
        <f t="shared" ca="1" si="8"/>
        <v>102.60177558831084</v>
      </c>
    </row>
    <row r="61" spans="1:31" x14ac:dyDescent="0.35">
      <c r="A61" s="16">
        <v>46067</v>
      </c>
      <c r="B61" s="7">
        <v>113.31726025959225</v>
      </c>
      <c r="C61" s="7">
        <v>111.99725475093398</v>
      </c>
      <c r="D61" s="7">
        <v>110.69690966759936</v>
      </c>
      <c r="E61" s="7">
        <v>109.41588633767728</v>
      </c>
      <c r="F61" s="7">
        <v>108.15385262066826</v>
      </c>
      <c r="G61" s="7">
        <v>106.91048276875482</v>
      </c>
      <c r="H61" s="7">
        <v>105.68545729128283</v>
      </c>
      <c r="I61" s="7">
        <v>104.47846282237292</v>
      </c>
      <c r="J61" s="7">
        <v>103.28919199158435</v>
      </c>
      <c r="K61" s="7">
        <v>102.11734329755478</v>
      </c>
      <c r="L61" s="7">
        <v>100.96262098454235</v>
      </c>
      <c r="M61" s="7">
        <v>99.824734921797713</v>
      </c>
      <c r="N61" s="7">
        <v>98.703400485696022</v>
      </c>
      <c r="O61" s="7">
        <v>97.59833844456054</v>
      </c>
      <c r="P61" s="7">
        <v>96.509274846111566</v>
      </c>
      <c r="Q61" s="7">
        <v>95.43594090747581</v>
      </c>
      <c r="R61" s="7">
        <v>94.378072907693365</v>
      </c>
      <c r="S61" s="7">
        <v>93.335412082660895</v>
      </c>
      <c r="T61" s="7">
        <v>92.307704522451445</v>
      </c>
      <c r="U61" s="7">
        <v>91.294701070952556</v>
      </c>
      <c r="V61" s="7">
        <v>90.296157227766344</v>
      </c>
      <c r="W61" s="7">
        <v>89.311833052316217</v>
      </c>
      <c r="X61" s="7">
        <v>88.341493070106694</v>
      </c>
      <c r="Y61" s="7">
        <v>87.384906181083977</v>
      </c>
      <c r="Z61" s="7">
        <v>86.44184557004634</v>
      </c>
      <c r="AA61" s="7">
        <v>85.512088619055049</v>
      </c>
      <c r="AC61" s="21">
        <f t="shared" ca="1" si="6"/>
        <v>100.96262098454235</v>
      </c>
      <c r="AD61" s="7">
        <f t="shared" ca="1" si="7"/>
        <v>102.11734329755478</v>
      </c>
      <c r="AE61" s="7">
        <f t="shared" ca="1" si="8"/>
        <v>99.816722866919818</v>
      </c>
    </row>
    <row r="62" spans="1:31" x14ac:dyDescent="0.35">
      <c r="A62" s="16">
        <v>46156</v>
      </c>
      <c r="B62" s="7">
        <v>112.95697356395463</v>
      </c>
      <c r="C62" s="7">
        <v>111.67644591721296</v>
      </c>
      <c r="D62" s="7">
        <v>110.41448880669564</v>
      </c>
      <c r="E62" s="7">
        <v>109.17079022053436</v>
      </c>
      <c r="F62" s="7">
        <v>107.94504402745105</v>
      </c>
      <c r="G62" s="7">
        <v>106.73694985446612</v>
      </c>
      <c r="H62" s="7">
        <v>105.54621296738223</v>
      </c>
      <c r="I62" s="7">
        <v>104.37254415397523</v>
      </c>
      <c r="J62" s="7">
        <v>103.21565960982595</v>
      </c>
      <c r="K62" s="7">
        <v>102.07528082672859</v>
      </c>
      <c r="L62" s="7">
        <v>100.95113448361205</v>
      </c>
      <c r="M62" s="7">
        <v>99.842952339913765</v>
      </c>
      <c r="N62" s="7">
        <v>98.750471131345492</v>
      </c>
      <c r="O62" s="7">
        <v>97.673432467993806</v>
      </c>
      <c r="P62" s="7">
        <v>96.61158273469799</v>
      </c>
      <c r="Q62" s="7">
        <v>95.564672993650802</v>
      </c>
      <c r="R62" s="7">
        <v>94.532458889167813</v>
      </c>
      <c r="S62" s="7">
        <v>93.51470055457365</v>
      </c>
      <c r="T62" s="7">
        <v>92.51116252115385</v>
      </c>
      <c r="U62" s="7">
        <v>91.521613629122655</v>
      </c>
      <c r="V62" s="7">
        <v>90.545826940558754</v>
      </c>
      <c r="W62" s="7">
        <v>89.583579654261584</v>
      </c>
      <c r="X62" s="7">
        <v>88.634653022482311</v>
      </c>
      <c r="Y62" s="7">
        <v>87.698832269485195</v>
      </c>
      <c r="Z62" s="7">
        <v>86.775906511895144</v>
      </c>
      <c r="AA62" s="7">
        <v>85.865668680789625</v>
      </c>
      <c r="AC62" s="21">
        <f t="shared" ca="1" si="6"/>
        <v>99.842952339913765</v>
      </c>
      <c r="AD62" s="7">
        <f t="shared" ca="1" si="7"/>
        <v>103.21565960982595</v>
      </c>
      <c r="AE62" s="7">
        <f t="shared" ca="1" si="8"/>
        <v>98.461436400330982</v>
      </c>
    </row>
    <row r="63" spans="1:31" x14ac:dyDescent="0.35">
      <c r="A63" s="16">
        <v>46248</v>
      </c>
      <c r="B63" s="7">
        <v>112.61429400632669</v>
      </c>
      <c r="C63" s="7">
        <v>111.37443880691221</v>
      </c>
      <c r="D63" s="7">
        <v>110.15208682335793</v>
      </c>
      <c r="E63" s="7">
        <v>108.94695142125286</v>
      </c>
      <c r="F63" s="7">
        <v>107.75875124266486</v>
      </c>
      <c r="G63" s="7">
        <v>106.58721009876066</v>
      </c>
      <c r="H63" s="7">
        <v>105.43205686481603</v>
      </c>
      <c r="I63" s="7">
        <v>104.29302537755578</v>
      </c>
      <c r="J63" s="7">
        <v>103.16985433477032</v>
      </c>
      <c r="K63" s="7">
        <v>102.06228719715155</v>
      </c>
      <c r="L63" s="7">
        <v>100.97007209229676</v>
      </c>
      <c r="M63" s="7">
        <v>99.892961720827429</v>
      </c>
      <c r="N63" s="7">
        <v>98.830713264573376</v>
      </c>
      <c r="O63" s="7">
        <v>97.783088296771822</v>
      </c>
      <c r="P63" s="7">
        <v>96.749852694234789</v>
      </c>
      <c r="Q63" s="7">
        <v>95.730776551436833</v>
      </c>
      <c r="R63" s="7">
        <v>94.725634096478643</v>
      </c>
      <c r="S63" s="7">
        <v>93.734203608881032</v>
      </c>
      <c r="T63" s="7">
        <v>92.756267339167195</v>
      </c>
      <c r="U63" s="7">
        <v>91.79161143019013</v>
      </c>
      <c r="V63" s="7">
        <v>90.840025840164856</v>
      </c>
      <c r="W63" s="7">
        <v>89.901304267364651</v>
      </c>
      <c r="X63" s="7">
        <v>88.975244076443332</v>
      </c>
      <c r="Y63" s="7">
        <v>88.061646226344209</v>
      </c>
      <c r="Z63" s="7">
        <v>87.160315199759879</v>
      </c>
      <c r="AA63" s="7">
        <v>86.271058934105895</v>
      </c>
      <c r="AC63" s="21">
        <f t="shared" ca="1" si="6"/>
        <v>98.830713264573376</v>
      </c>
      <c r="AD63" s="7">
        <f t="shared" ca="1" si="7"/>
        <v>95.730776551436833</v>
      </c>
      <c r="AE63" s="7">
        <f t="shared" ca="1" si="8"/>
        <v>98.461436400330982</v>
      </c>
    </row>
    <row r="64" spans="1:31" x14ac:dyDescent="0.35">
      <c r="A64" s="16">
        <v>46340</v>
      </c>
      <c r="B64" s="7">
        <v>112.20132302243307</v>
      </c>
      <c r="C64" s="7">
        <v>110.99990003503132</v>
      </c>
      <c r="D64" s="7">
        <v>109.81494187553778</v>
      </c>
      <c r="E64" s="7">
        <v>108.64618600057976</v>
      </c>
      <c r="F64" s="7">
        <v>107.49337458406683</v>
      </c>
      <c r="G64" s="7">
        <v>106.35625442329646</v>
      </c>
      <c r="H64" s="7">
        <v>105.23457684710651</v>
      </c>
      <c r="I64" s="7">
        <v>104.12809762602572</v>
      </c>
      <c r="J64" s="7">
        <v>103.03657688437563</v>
      </c>
      <c r="K64" s="7">
        <v>101.95977901427719</v>
      </c>
      <c r="L64" s="7">
        <v>100.89747259151788</v>
      </c>
      <c r="M64" s="7">
        <v>99.849430293235159</v>
      </c>
      <c r="N64" s="7">
        <v>98.815428817374141</v>
      </c>
      <c r="O64" s="7">
        <v>97.795248803877385</v>
      </c>
      <c r="P64" s="7">
        <v>96.788674757566909</v>
      </c>
      <c r="Q64" s="7">
        <v>95.795494972678782</v>
      </c>
      <c r="R64" s="7">
        <v>94.815501459011514</v>
      </c>
      <c r="S64" s="7">
        <v>93.848489869651459</v>
      </c>
      <c r="T64" s="7">
        <v>92.894259430237909</v>
      </c>
      <c r="U64" s="7">
        <v>91.952612869732931</v>
      </c>
      <c r="V64" s="7">
        <v>91.023356352660599</v>
      </c>
      <c r="W64" s="7">
        <v>90.106299412782292</v>
      </c>
      <c r="X64" s="7">
        <v>89.201254888174489</v>
      </c>
      <c r="Y64" s="7">
        <v>88.30803885767746</v>
      </c>
      <c r="Z64" s="7">
        <v>87.426470578682583</v>
      </c>
      <c r="AA64" s="7">
        <v>86.556372426228776</v>
      </c>
      <c r="AC64" s="21">
        <f t="shared" ca="1" si="6"/>
        <v>97.795248803877385</v>
      </c>
      <c r="AD64" s="7">
        <f t="shared" ca="1" si="7"/>
        <v>108.64618600057976</v>
      </c>
      <c r="AE64" s="7">
        <f t="shared" ca="1" si="8"/>
        <v>97.130297903438716</v>
      </c>
    </row>
    <row r="65" spans="1:31" x14ac:dyDescent="0.35">
      <c r="A65" s="16">
        <v>46432</v>
      </c>
      <c r="B65" s="7">
        <v>111.80531262261286</v>
      </c>
      <c r="C65" s="7">
        <v>110.64347771897462</v>
      </c>
      <c r="D65" s="7">
        <v>109.49709153587676</v>
      </c>
      <c r="E65" s="7">
        <v>108.36591437940199</v>
      </c>
      <c r="F65" s="7">
        <v>107.24971075658071</v>
      </c>
      <c r="G65" s="7">
        <v>106.14824929365145</v>
      </c>
      <c r="H65" s="7">
        <v>105.06130265606592</v>
      </c>
      <c r="I65" s="7">
        <v>103.98864747019884</v>
      </c>
      <c r="J65" s="7">
        <v>102.93006424672272</v>
      </c>
      <c r="K65" s="7">
        <v>101.88533730560897</v>
      </c>
      <c r="L65" s="7">
        <v>100.85425470271809</v>
      </c>
      <c r="M65" s="7">
        <v>99.836608157942237</v>
      </c>
      <c r="N65" s="7">
        <v>98.832192984864179</v>
      </c>
      <c r="O65" s="7">
        <v>97.840808021898368</v>
      </c>
      <c r="P65" s="7">
        <v>96.862255564879717</v>
      </c>
      <c r="Q65" s="7">
        <v>95.896341301067153</v>
      </c>
      <c r="R65" s="7">
        <v>94.942874244529733</v>
      </c>
      <c r="S65" s="7">
        <v>94.001666672883601</v>
      </c>
      <c r="T65" s="7">
        <v>93.072534065349373</v>
      </c>
      <c r="U65" s="7">
        <v>92.155295042099596</v>
      </c>
      <c r="V65" s="7">
        <v>91.249771304867537</v>
      </c>
      <c r="W65" s="7">
        <v>90.355787578788338</v>
      </c>
      <c r="X65" s="7">
        <v>89.473171555444821</v>
      </c>
      <c r="Y65" s="7">
        <v>88.601753837091138</v>
      </c>
      <c r="Z65" s="7">
        <v>87.741367882027248</v>
      </c>
      <c r="AA65" s="7">
        <v>86.891849951098862</v>
      </c>
      <c r="AC65" s="21">
        <f t="shared" ca="1" si="6"/>
        <v>96.862255564879717</v>
      </c>
      <c r="AD65" s="7">
        <f t="shared" ca="1" si="7"/>
        <v>94.001666672883601</v>
      </c>
      <c r="AE65" s="7">
        <f t="shared" ca="1" si="8"/>
        <v>97.130297903438716</v>
      </c>
    </row>
    <row r="66" spans="1:31" x14ac:dyDescent="0.35">
      <c r="A66" s="16">
        <v>46521</v>
      </c>
      <c r="B66" s="7">
        <v>111.42647095112982</v>
      </c>
      <c r="C66" s="7">
        <v>110.30540291465913</v>
      </c>
      <c r="D66" s="7">
        <v>109.19879116714462</v>
      </c>
      <c r="E66" s="7">
        <v>108.10641763528497</v>
      </c>
      <c r="F66" s="7">
        <v>107.02806797139952</v>
      </c>
      <c r="G66" s="7">
        <v>105.96353148260447</v>
      </c>
      <c r="H66" s="7">
        <v>104.91260106146943</v>
      </c>
      <c r="I66" s="7">
        <v>103.87507311811989</v>
      </c>
      <c r="J66" s="7">
        <v>102.85074751375366</v>
      </c>
      <c r="K66" s="7">
        <v>101.83942749553852</v>
      </c>
      <c r="L66" s="7">
        <v>100.84091963285995</v>
      </c>
      <c r="M66" s="7">
        <v>99.855033754888908</v>
      </c>
      <c r="N66" s="7">
        <v>98.881582889439144</v>
      </c>
      <c r="O66" s="7">
        <v>97.920383203085706</v>
      </c>
      <c r="P66" s="7">
        <v>96.971253942515816</v>
      </c>
      <c r="Q66" s="7">
        <v>96.034017377084851</v>
      </c>
      <c r="R66" s="7">
        <v>95.108498742550125</v>
      </c>
      <c r="S66" s="7">
        <v>94.194526185956491</v>
      </c>
      <c r="T66" s="7">
        <v>93.291930711647765</v>
      </c>
      <c r="U66" s="7">
        <v>92.400546128379148</v>
      </c>
      <c r="V66" s="7">
        <v>91.520208997506145</v>
      </c>
      <c r="W66" s="7">
        <v>90.650758582225919</v>
      </c>
      <c r="X66" s="7">
        <v>89.792036797848155</v>
      </c>
      <c r="Y66" s="7">
        <v>88.943888163072259</v>
      </c>
      <c r="Z66" s="7">
        <v>88.106159752249027</v>
      </c>
      <c r="AA66" s="7">
        <v>87.278701148605094</v>
      </c>
      <c r="AC66" s="21">
        <f t="shared" ca="1" si="6"/>
        <v>96.034017377084851</v>
      </c>
      <c r="AD66" s="7">
        <f t="shared" ca="1" si="7"/>
        <v>96.034017377084851</v>
      </c>
      <c r="AE66" s="7">
        <f t="shared" ca="1" si="8"/>
        <v>102.60177558831084</v>
      </c>
    </row>
    <row r="67" spans="1:31" x14ac:dyDescent="0.35">
      <c r="A67" s="16">
        <v>46613</v>
      </c>
      <c r="B67" s="7">
        <v>111.06500870664304</v>
      </c>
      <c r="C67" s="7">
        <v>109.98590962487164</v>
      </c>
      <c r="D67" s="7">
        <v>108.92029951181927</v>
      </c>
      <c r="E67" s="7">
        <v>107.86798070084305</v>
      </c>
      <c r="F67" s="7">
        <v>106.82875881473942</v>
      </c>
      <c r="G67" s="7">
        <v>105.80244270468633</v>
      </c>
      <c r="H67" s="7">
        <v>104.78884439043463</v>
      </c>
      <c r="I67" s="7">
        <v>103.78777900171936</v>
      </c>
      <c r="J67" s="7">
        <v>102.79906472086518</v>
      </c>
      <c r="K67" s="7">
        <v>101.82252272655785</v>
      </c>
      <c r="L67" s="7">
        <v>100.85797713875755</v>
      </c>
      <c r="M67" s="7">
        <v>99.905254964726993</v>
      </c>
      <c r="N67" s="7">
        <v>98.964186046151809</v>
      </c>
      <c r="O67" s="7">
        <v>98.034603007326496</v>
      </c>
      <c r="P67" s="7">
        <v>97.116341204385094</v>
      </c>
      <c r="Q67" s="7">
        <v>96.209238675551802</v>
      </c>
      <c r="R67" s="7">
        <v>95.313136092389897</v>
      </c>
      <c r="S67" s="7">
        <v>94.427876712027043</v>
      </c>
      <c r="T67" s="7">
        <v>93.553306330335573</v>
      </c>
      <c r="U67" s="7">
        <v>92.689273236046859</v>
      </c>
      <c r="V67" s="7">
        <v>91.835628165779681</v>
      </c>
      <c r="W67" s="7">
        <v>90.9922242599622</v>
      </c>
      <c r="X67" s="7">
        <v>90.158917019629015</v>
      </c>
      <c r="Y67" s="7">
        <v>89.335564264073241</v>
      </c>
      <c r="Z67" s="7">
        <v>88.522026089336364</v>
      </c>
      <c r="AA67" s="7">
        <v>87.718164827516489</v>
      </c>
      <c r="AC67" s="21">
        <f t="shared" ca="1" si="6"/>
        <v>95.313136092389897</v>
      </c>
      <c r="AD67" s="7">
        <f t="shared" ca="1" si="7"/>
        <v>87.718164827516489</v>
      </c>
      <c r="AE67" s="7">
        <f t="shared" ca="1" si="8"/>
        <v>98.461436400330982</v>
      </c>
    </row>
    <row r="68" spans="1:31" x14ac:dyDescent="0.35">
      <c r="A68" s="16">
        <v>46705</v>
      </c>
      <c r="B68" s="7">
        <v>110.63302453035423</v>
      </c>
      <c r="C68" s="7">
        <v>109.59366165608409</v>
      </c>
      <c r="D68" s="7">
        <v>108.5668519463445</v>
      </c>
      <c r="E68" s="7">
        <v>107.5524169279491</v>
      </c>
      <c r="F68" s="7">
        <v>106.55018101833423</v>
      </c>
      <c r="G68" s="7">
        <v>105.55997147320329</v>
      </c>
      <c r="H68" s="7">
        <v>104.58161833521775</v>
      </c>
      <c r="I68" s="7">
        <v>103.61495438371227</v>
      </c>
      <c r="J68" s="7">
        <v>102.65981508541158</v>
      </c>
      <c r="K68" s="7">
        <v>101.71603854612691</v>
      </c>
      <c r="L68" s="7">
        <v>100.78346546341113</v>
      </c>
      <c r="M68" s="7">
        <v>99.861939080151714</v>
      </c>
      <c r="N68" s="7">
        <v>98.951305139080986</v>
      </c>
      <c r="O68" s="7">
        <v>98.051411838184009</v>
      </c>
      <c r="P68" s="7">
        <v>97.162109786984772</v>
      </c>
      <c r="Q68" s="7">
        <v>96.283251963691683</v>
      </c>
      <c r="R68" s="7">
        <v>95.414693673183947</v>
      </c>
      <c r="S68" s="7">
        <v>94.556292505820736</v>
      </c>
      <c r="T68" s="7">
        <v>93.707908297055667</v>
      </c>
      <c r="U68" s="7">
        <v>92.869403087839117</v>
      </c>
      <c r="V68" s="7">
        <v>92.040641085791933</v>
      </c>
      <c r="W68" s="7">
        <v>91.221488627133795</v>
      </c>
      <c r="X68" s="7">
        <v>90.411814139350255</v>
      </c>
      <c r="Y68" s="7">
        <v>89.61148810458306</v>
      </c>
      <c r="Z68" s="7">
        <v>88.820383023727899</v>
      </c>
      <c r="AA68" s="7">
        <v>88.038373381225327</v>
      </c>
      <c r="AC68" s="21">
        <f t="shared" ca="1" si="6"/>
        <v>94.556292505820736</v>
      </c>
      <c r="AD68" s="7">
        <f t="shared" ca="1" si="7"/>
        <v>107.5524169279491</v>
      </c>
      <c r="AE68" s="7">
        <f t="shared" ca="1" si="8"/>
        <v>101.19666332698625</v>
      </c>
    </row>
    <row r="69" spans="1:31" x14ac:dyDescent="0.35">
      <c r="A69" s="16">
        <v>46797</v>
      </c>
      <c r="B69" s="7">
        <v>110.21776760378451</v>
      </c>
      <c r="C69" s="7">
        <v>109.2193042813534</v>
      </c>
      <c r="D69" s="7">
        <v>108.23248322504114</v>
      </c>
      <c r="E69" s="7">
        <v>107.25714399146324</v>
      </c>
      <c r="F69" s="7">
        <v>106.2931286643761</v>
      </c>
      <c r="G69" s="7">
        <v>105.34028181004189</v>
      </c>
      <c r="H69" s="7">
        <v>104.39845043346557</v>
      </c>
      <c r="I69" s="7">
        <v>103.46748393548563</v>
      </c>
      <c r="J69" s="7">
        <v>102.54723407070024</v>
      </c>
      <c r="K69" s="7">
        <v>101.63755490621085</v>
      </c>
      <c r="L69" s="7">
        <v>100.73830278116617</v>
      </c>
      <c r="M69" s="7">
        <v>99.849336267089143</v>
      </c>
      <c r="N69" s="7">
        <v>98.970516128970772</v>
      </c>
      <c r="O69" s="7">
        <v>98.101705287113859</v>
      </c>
      <c r="P69" s="7">
        <v>97.242768779711767</v>
      </c>
      <c r="Q69" s="7">
        <v>96.393573726145803</v>
      </c>
      <c r="R69" s="7">
        <v>95.553989290986692</v>
      </c>
      <c r="S69" s="7">
        <v>94.72388664868501</v>
      </c>
      <c r="T69" s="7">
        <v>93.903138948936487</v>
      </c>
      <c r="U69" s="7">
        <v>93.09162128270755</v>
      </c>
      <c r="V69" s="7">
        <v>92.289210648907854</v>
      </c>
      <c r="W69" s="7">
        <v>91.495785921695898</v>
      </c>
      <c r="X69" s="7">
        <v>90.711227818404737</v>
      </c>
      <c r="Y69" s="7">
        <v>89.935418868075004</v>
      </c>
      <c r="Z69" s="7">
        <v>89.168243380582282</v>
      </c>
      <c r="AA69" s="7">
        <v>88.40958741634708</v>
      </c>
      <c r="AC69" s="21">
        <f t="shared" ca="1" si="6"/>
        <v>93.903138948936487</v>
      </c>
      <c r="AD69" s="7">
        <f t="shared" ca="1" si="7"/>
        <v>99.849336267089143</v>
      </c>
      <c r="AE69" s="7">
        <f t="shared" ca="1" si="8"/>
        <v>102.60177558831084</v>
      </c>
    </row>
    <row r="70" spans="1:31" x14ac:dyDescent="0.35">
      <c r="A70" s="16">
        <v>46887</v>
      </c>
      <c r="B70" s="7">
        <v>109.81944320766375</v>
      </c>
      <c r="C70" s="7">
        <v>108.86306567597249</v>
      </c>
      <c r="D70" s="7">
        <v>107.91744585505785</v>
      </c>
      <c r="E70" s="7">
        <v>106.98244018526164</v>
      </c>
      <c r="F70" s="7">
        <v>106.05790730409701</v>
      </c>
      <c r="G70" s="7">
        <v>105.14370800843115</v>
      </c>
      <c r="H70" s="7">
        <v>104.23970521739</v>
      </c>
      <c r="I70" s="7">
        <v>103.34576393596979</v>
      </c>
      <c r="J70" s="7">
        <v>102.4617512193406</v>
      </c>
      <c r="K70" s="7">
        <v>101.58753613782754</v>
      </c>
      <c r="L70" s="7">
        <v>100.72298974255521</v>
      </c>
      <c r="M70" s="7">
        <v>99.867985031742279</v>
      </c>
      <c r="N70" s="7">
        <v>99.022396917631752</v>
      </c>
      <c r="O70" s="7">
        <v>98.186102194044608</v>
      </c>
      <c r="P70" s="7">
        <v>97.358979504543427</v>
      </c>
      <c r="Q70" s="7">
        <v>96.540909311193602</v>
      </c>
      <c r="R70" s="7">
        <v>95.73177386390978</v>
      </c>
      <c r="S70" s="7">
        <v>94.931457170375481</v>
      </c>
      <c r="T70" s="7">
        <v>94.139844966524137</v>
      </c>
      <c r="U70" s="7">
        <v>93.35682468757021</v>
      </c>
      <c r="V70" s="7">
        <v>92.582285439578783</v>
      </c>
      <c r="W70" s="7">
        <v>91.816117971563003</v>
      </c>
      <c r="X70" s="7">
        <v>91.058214648098385</v>
      </c>
      <c r="Y70" s="7">
        <v>90.30846942244365</v>
      </c>
      <c r="Z70" s="7">
        <v>89.566777810157589</v>
      </c>
      <c r="AA70" s="7">
        <v>88.833036863202096</v>
      </c>
      <c r="AC70" s="21">
        <f t="shared" ca="1" si="6"/>
        <v>93.35682468757021</v>
      </c>
      <c r="AD70" s="7">
        <f t="shared" ca="1" si="7"/>
        <v>102.4617512193406</v>
      </c>
      <c r="AE70" s="7">
        <f t="shared" ca="1" si="8"/>
        <v>101.19666332698625</v>
      </c>
    </row>
    <row r="71" spans="1:31" x14ac:dyDescent="0.35">
      <c r="A71" s="16">
        <v>46979</v>
      </c>
      <c r="B71" s="7">
        <v>109.43825914197518</v>
      </c>
      <c r="C71" s="7">
        <v>108.52517692536497</v>
      </c>
      <c r="D71" s="7">
        <v>107.62199568545749</v>
      </c>
      <c r="E71" s="7">
        <v>106.72858762009025</v>
      </c>
      <c r="F71" s="7">
        <v>105.84482682599432</v>
      </c>
      <c r="G71" s="7">
        <v>104.97058926696751</v>
      </c>
      <c r="H71" s="7">
        <v>104.10575274264157</v>
      </c>
      <c r="I71" s="7">
        <v>103.25019685782941</v>
      </c>
      <c r="J71" s="7">
        <v>102.40380299244227</v>
      </c>
      <c r="K71" s="7">
        <v>101.56645427196381</v>
      </c>
      <c r="L71" s="7">
        <v>100.73803553847057</v>
      </c>
      <c r="M71" s="7">
        <v>99.918433322187369</v>
      </c>
      <c r="N71" s="7">
        <v>99.10753581356704</v>
      </c>
      <c r="O71" s="7">
        <v>98.305232835883317</v>
      </c>
      <c r="P71" s="7">
        <v>97.511415818327137</v>
      </c>
      <c r="Q71" s="7">
        <v>96.725977769595957</v>
      </c>
      <c r="R71" s="7">
        <v>95.948813251965859</v>
      </c>
      <c r="S71" s="7">
        <v>95.179818355837327</v>
      </c>
      <c r="T71" s="7">
        <v>94.418890674744432</v>
      </c>
      <c r="U71" s="7">
        <v>93.665929280819</v>
      </c>
      <c r="V71" s="7">
        <v>92.920834700699857</v>
      </c>
      <c r="W71" s="7">
        <v>92.183508891878745</v>
      </c>
      <c r="X71" s="7">
        <v>91.45385521947415</v>
      </c>
      <c r="Y71" s="7">
        <v>90.731778433424282</v>
      </c>
      <c r="Z71" s="7">
        <v>90.017184646091337</v>
      </c>
      <c r="AA71" s="7">
        <v>89.309981310268142</v>
      </c>
      <c r="AC71" s="21">
        <f t="shared" ca="1" si="6"/>
        <v>92.920834700699857</v>
      </c>
      <c r="AD71" s="7">
        <f t="shared" ca="1" si="7"/>
        <v>91.45385521947415</v>
      </c>
      <c r="AE71" s="7">
        <f t="shared" ca="1" si="8"/>
        <v>97.130297903438716</v>
      </c>
    </row>
    <row r="72" spans="1:31" x14ac:dyDescent="0.35">
      <c r="A72" s="16">
        <v>47071</v>
      </c>
      <c r="B72" s="7">
        <v>108.98631111367145</v>
      </c>
      <c r="C72" s="7">
        <v>108.11429888143162</v>
      </c>
      <c r="D72" s="7">
        <v>107.25136516097479</v>
      </c>
      <c r="E72" s="7">
        <v>106.39739678725111</v>
      </c>
      <c r="F72" s="7">
        <v>105.55228222578916</v>
      </c>
      <c r="G72" s="7">
        <v>104.71591154610451</v>
      </c>
      <c r="H72" s="7">
        <v>103.88817639559188</v>
      </c>
      <c r="I72" s="7">
        <v>103.06896997389079</v>
      </c>
      <c r="J72" s="7">
        <v>102.25818700771593</v>
      </c>
      <c r="K72" s="7">
        <v>101.45572372614238</v>
      </c>
      <c r="L72" s="7">
        <v>100.66147783633691</v>
      </c>
      <c r="M72" s="7">
        <v>99.875348499726258</v>
      </c>
      <c r="N72" s="7">
        <v>99.097236308594134</v>
      </c>
      <c r="O72" s="7">
        <v>98.327043263097934</v>
      </c>
      <c r="P72" s="7">
        <v>97.564672748697205</v>
      </c>
      <c r="Q72" s="7">
        <v>96.810029513985626</v>
      </c>
      <c r="R72" s="7">
        <v>96.063019648918512</v>
      </c>
      <c r="S72" s="7">
        <v>95.323550563428256</v>
      </c>
      <c r="T72" s="7">
        <v>94.591530966419739</v>
      </c>
      <c r="U72" s="7">
        <v>93.866870845138649</v>
      </c>
      <c r="V72" s="7">
        <v>93.149481444905106</v>
      </c>
      <c r="W72" s="7">
        <v>92.439275249205636</v>
      </c>
      <c r="X72" s="7">
        <v>91.736165960136546</v>
      </c>
      <c r="Y72" s="7">
        <v>91.040068479191618</v>
      </c>
      <c r="Z72" s="7">
        <v>90.350898888387675</v>
      </c>
      <c r="AA72" s="7">
        <v>89.668574431721552</v>
      </c>
      <c r="AC72" s="21">
        <f t="shared" ca="1" si="6"/>
        <v>92.439275249205636</v>
      </c>
      <c r="AD72" s="7">
        <f t="shared" ca="1" si="7"/>
        <v>106.39739678725111</v>
      </c>
      <c r="AE72" s="7">
        <f t="shared" ca="1" si="8"/>
        <v>101.19666332698625</v>
      </c>
    </row>
    <row r="73" spans="1:31" x14ac:dyDescent="0.35">
      <c r="A73" s="16">
        <v>47163</v>
      </c>
      <c r="B73" s="7">
        <v>108.55084533401475</v>
      </c>
      <c r="C73" s="7">
        <v>107.72107382497586</v>
      </c>
      <c r="D73" s="7">
        <v>106.89958606542041</v>
      </c>
      <c r="E73" s="7">
        <v>106.08628246179994</v>
      </c>
      <c r="F73" s="7">
        <v>105.28106481082361</v>
      </c>
      <c r="G73" s="7">
        <v>104.48383627741572</v>
      </c>
      <c r="H73" s="7">
        <v>103.69450137306399</v>
      </c>
      <c r="I73" s="7">
        <v>102.91296593455078</v>
      </c>
      <c r="J73" s="7">
        <v>102.13913710306028</v>
      </c>
      <c r="K73" s="7">
        <v>101.37292330365366</v>
      </c>
      <c r="L73" s="7">
        <v>100.61423422510558</v>
      </c>
      <c r="M73" s="7">
        <v>99.862980800094661</v>
      </c>
      <c r="N73" s="7">
        <v>99.119075185741252</v>
      </c>
      <c r="O73" s="7">
        <v>98.382430744485731</v>
      </c>
      <c r="P73" s="7">
        <v>97.652962025300724</v>
      </c>
      <c r="Q73" s="7">
        <v>96.93058474523076</v>
      </c>
      <c r="R73" s="7">
        <v>96.215215771253114</v>
      </c>
      <c r="S73" s="7">
        <v>95.506773102453735</v>
      </c>
      <c r="T73" s="7">
        <v>94.805175852512122</v>
      </c>
      <c r="U73" s="7">
        <v>94.110344232489012</v>
      </c>
      <c r="V73" s="7">
        <v>93.422199533911794</v>
      </c>
      <c r="W73" s="7">
        <v>92.740664112150924</v>
      </c>
      <c r="X73" s="7">
        <v>92.065661370082864</v>
      </c>
      <c r="Y73" s="7">
        <v>91.397115742033307</v>
      </c>
      <c r="Z73" s="7">
        <v>90.734952677995722</v>
      </c>
      <c r="AA73" s="7">
        <v>90.079098628120107</v>
      </c>
      <c r="AC73" s="21">
        <f t="shared" ca="1" si="6"/>
        <v>92.065661370082864</v>
      </c>
      <c r="AD73" s="7">
        <f t="shared" ca="1" si="7"/>
        <v>103.69450137306399</v>
      </c>
      <c r="AE73" s="7">
        <f t="shared" ca="1" si="8"/>
        <v>99.816722866919818</v>
      </c>
    </row>
    <row r="74" spans="1:31" x14ac:dyDescent="0.35">
      <c r="A74" s="16">
        <v>47252</v>
      </c>
      <c r="B74" s="7">
        <v>108.1320640770244</v>
      </c>
      <c r="C74" s="7">
        <v>107.34572690087417</v>
      </c>
      <c r="D74" s="7">
        <v>106.56690789611839</v>
      </c>
      <c r="E74" s="7">
        <v>105.79551999803699</v>
      </c>
      <c r="F74" s="7">
        <v>105.03147731809096</v>
      </c>
      <c r="G74" s="7">
        <v>104.2746951258074</v>
      </c>
      <c r="H74" s="7">
        <v>103.52508983097765</v>
      </c>
      <c r="I74" s="7">
        <v>102.78257896616209</v>
      </c>
      <c r="J74" s="7">
        <v>102.04708116949631</v>
      </c>
      <c r="K74" s="7">
        <v>101.3185161677922</v>
      </c>
      <c r="L74" s="7">
        <v>100.59680475992913</v>
      </c>
      <c r="M74" s="7">
        <v>99.881868800529077</v>
      </c>
      <c r="N74" s="7">
        <v>99.173631183910601</v>
      </c>
      <c r="O74" s="7">
        <v>98.472015828316373</v>
      </c>
      <c r="P74" s="7">
        <v>97.776947660409178</v>
      </c>
      <c r="Q74" s="7">
        <v>97.088352600031072</v>
      </c>
      <c r="R74" s="7">
        <v>96.406157545220921</v>
      </c>
      <c r="S74" s="7">
        <v>95.730290357485629</v>
      </c>
      <c r="T74" s="7">
        <v>95.060679847319889</v>
      </c>
      <c r="U74" s="7">
        <v>94.397255759970093</v>
      </c>
      <c r="V74" s="7">
        <v>93.739948761437958</v>
      </c>
      <c r="W74" s="7">
        <v>93.08869042471909</v>
      </c>
      <c r="X74" s="7">
        <v>92.443413216272148</v>
      </c>
      <c r="Y74" s="7">
        <v>91.804050482714715</v>
      </c>
      <c r="Z74" s="7">
        <v>91.170536437741205</v>
      </c>
      <c r="AA74" s="7">
        <v>90.542806149258823</v>
      </c>
      <c r="AC74" s="21">
        <f t="shared" ca="1" si="6"/>
        <v>91.804050482714715</v>
      </c>
      <c r="AD74" s="7">
        <f t="shared" ca="1" si="7"/>
        <v>95.060679847319889</v>
      </c>
      <c r="AE74" s="7">
        <f t="shared" ca="1" si="8"/>
        <v>102.60177558831084</v>
      </c>
    </row>
    <row r="75" spans="1:31" x14ac:dyDescent="0.35">
      <c r="A75" s="16">
        <v>47344</v>
      </c>
      <c r="B75" s="7">
        <v>107.73017209907394</v>
      </c>
      <c r="C75" s="7">
        <v>106.98848612548396</v>
      </c>
      <c r="D75" s="7">
        <v>106.2535834524722</v>
      </c>
      <c r="E75" s="7">
        <v>105.52538852681532</v>
      </c>
      <c r="F75" s="7">
        <v>104.80382678190199</v>
      </c>
      <c r="G75" s="7">
        <v>104.08882462298558</v>
      </c>
      <c r="H75" s="7">
        <v>103.38030941268536</v>
      </c>
      <c r="I75" s="7">
        <v>102.67820945673049</v>
      </c>
      <c r="J75" s="7">
        <v>101.98245398994348</v>
      </c>
      <c r="K75" s="7">
        <v>101.29297316245734</v>
      </c>
      <c r="L75" s="7">
        <v>100.6096980261635</v>
      </c>
      <c r="M75" s="7">
        <v>99.932560521384858</v>
      </c>
      <c r="N75" s="7">
        <v>99.261493463771004</v>
      </c>
      <c r="O75" s="7">
        <v>98.596430531410448</v>
      </c>
      <c r="P75" s="7">
        <v>97.93730625215666</v>
      </c>
      <c r="Q75" s="7">
        <v>97.284055991163626</v>
      </c>
      <c r="R75" s="7">
        <v>96.636615938627074</v>
      </c>
      <c r="S75" s="7">
        <v>95.99492309772765</v>
      </c>
      <c r="T75" s="7">
        <v>95.358915272772464</v>
      </c>
      <c r="U75" s="7">
        <v>94.728531057531072</v>
      </c>
      <c r="V75" s="7">
        <v>94.103709823762841</v>
      </c>
      <c r="W75" s="7">
        <v>93.4843917099316</v>
      </c>
      <c r="X75" s="7">
        <v>92.870517610104727</v>
      </c>
      <c r="Y75" s="7">
        <v>92.26202916303302</v>
      </c>
      <c r="Z75" s="7">
        <v>91.658868741408298</v>
      </c>
      <c r="AA75" s="7">
        <v>91.060979441294975</v>
      </c>
      <c r="AC75" s="21">
        <f t="shared" ca="1" si="6"/>
        <v>91.658868741408298</v>
      </c>
      <c r="AD75" s="7">
        <f t="shared" ca="1" si="7"/>
        <v>96.636615938627074</v>
      </c>
      <c r="AE75" s="7">
        <f t="shared" ca="1" si="8"/>
        <v>102.60177558831084</v>
      </c>
    </row>
    <row r="76" spans="1:31" x14ac:dyDescent="0.35">
      <c r="A76" s="16">
        <v>47436</v>
      </c>
      <c r="B76" s="7">
        <v>107.25726202615451</v>
      </c>
      <c r="C76" s="7">
        <v>106.55800924249722</v>
      </c>
      <c r="D76" s="7">
        <v>105.86484208919514</v>
      </c>
      <c r="E76" s="7">
        <v>105.17769551867404</v>
      </c>
      <c r="F76" s="7">
        <v>104.49650530327645</v>
      </c>
      <c r="G76" s="7">
        <v>103.82120802337982</v>
      </c>
      <c r="H76" s="7">
        <v>103.15174105570921</v>
      </c>
      <c r="I76" s="7">
        <v>102.48804256184071</v>
      </c>
      <c r="J76" s="7">
        <v>101.83005147689234</v>
      </c>
      <c r="K76" s="7">
        <v>101.17770749839893</v>
      </c>
      <c r="L76" s="7">
        <v>100.53095107536748</v>
      </c>
      <c r="M76" s="7">
        <v>99.889723397510167</v>
      </c>
      <c r="N76" s="7">
        <v>99.253966384651264</v>
      </c>
      <c r="O76" s="7">
        <v>98.623622676305331</v>
      </c>
      <c r="P76" s="7">
        <v>97.998635621423233</v>
      </c>
      <c r="Q76" s="7">
        <v>97.378949268303074</v>
      </c>
      <c r="R76" s="7">
        <v>96.764508354663334</v>
      </c>
      <c r="S76" s="7">
        <v>96.155258297874795</v>
      </c>
      <c r="T76" s="7">
        <v>95.551145185349142</v>
      </c>
      <c r="U76" s="7">
        <v>94.952115765080535</v>
      </c>
      <c r="V76" s="7">
        <v>94.358117436338432</v>
      </c>
      <c r="W76" s="7">
        <v>93.769098240508086</v>
      </c>
      <c r="X76" s="7">
        <v>93.185006852076739</v>
      </c>
      <c r="Y76" s="7">
        <v>92.605792569762585</v>
      </c>
      <c r="Z76" s="7">
        <v>92.031405307784127</v>
      </c>
      <c r="AA76" s="7">
        <v>91.461795587267403</v>
      </c>
      <c r="AC76" s="21">
        <f t="shared" ca="1" si="6"/>
        <v>91.461795587267403</v>
      </c>
      <c r="AD76" s="7">
        <f t="shared" ca="1" si="7"/>
        <v>95.551145185349142</v>
      </c>
      <c r="AE76" s="7">
        <f t="shared" ca="1" si="8"/>
        <v>102.60177558831084</v>
      </c>
    </row>
    <row r="77" spans="1:31" x14ac:dyDescent="0.35">
      <c r="A77" s="16">
        <v>47528</v>
      </c>
      <c r="B77" s="7">
        <v>106.80057695075649</v>
      </c>
      <c r="C77" s="7">
        <v>106.14493538486667</v>
      </c>
      <c r="D77" s="7">
        <v>105.49471245918015</v>
      </c>
      <c r="E77" s="7">
        <v>104.84985268647549</v>
      </c>
      <c r="F77" s="7">
        <v>104.21030125376508</v>
      </c>
      <c r="G77" s="7">
        <v>103.57600401283203</v>
      </c>
      <c r="H77" s="7">
        <v>102.94690747091749</v>
      </c>
      <c r="I77" s="7">
        <v>102.32295878155608</v>
      </c>
      <c r="J77" s="7">
        <v>101.70410573555606</v>
      </c>
      <c r="K77" s="7">
        <v>101.09029675212258</v>
      </c>
      <c r="L77" s="7">
        <v>100.48148087012075</v>
      </c>
      <c r="M77" s="7">
        <v>99.877607739476545</v>
      </c>
      <c r="N77" s="7">
        <v>99.278627612712739</v>
      </c>
      <c r="O77" s="7">
        <v>98.684491336617882</v>
      </c>
      <c r="P77" s="7">
        <v>98.095150344045635</v>
      </c>
      <c r="Q77" s="7">
        <v>97.510556645842485</v>
      </c>
      <c r="R77" s="7">
        <v>96.930662822901368</v>
      </c>
      <c r="S77" s="7">
        <v>96.355422018339041</v>
      </c>
      <c r="T77" s="7">
        <v>95.784787929795243</v>
      </c>
      <c r="U77" s="7">
        <v>95.218714801851263</v>
      </c>
      <c r="V77" s="7">
        <v>94.657157418566101</v>
      </c>
      <c r="W77" s="7">
        <v>94.100071096127834</v>
      </c>
      <c r="X77" s="7">
        <v>93.547411675618747</v>
      </c>
      <c r="Y77" s="7">
        <v>92.999135515891624</v>
      </c>
      <c r="Z77" s="7">
        <v>92.455199486555671</v>
      </c>
      <c r="AA77" s="7">
        <v>91.915560961070426</v>
      </c>
      <c r="AC77" s="20">
        <f ca="1">OFFSET($A77,0,26-(ROW($A77)-ROW($A$76)))</f>
        <v>92.455199486555671</v>
      </c>
      <c r="AD77" s="7">
        <f t="shared" ca="1" si="7"/>
        <v>98.095150344045635</v>
      </c>
      <c r="AE77" s="7">
        <f t="shared" ca="1" si="8"/>
        <v>97.130297903438716</v>
      </c>
    </row>
    <row r="78" spans="1:31" x14ac:dyDescent="0.35">
      <c r="A78" s="16">
        <v>47617</v>
      </c>
      <c r="B78" s="7">
        <v>106.36031598985306</v>
      </c>
      <c r="C78" s="7">
        <v>105.74948650947073</v>
      </c>
      <c r="D78" s="7">
        <v>105.14344088739618</v>
      </c>
      <c r="E78" s="7">
        <v>104.54213228032775</v>
      </c>
      <c r="F78" s="7">
        <v>103.94551439289654</v>
      </c>
      <c r="G78" s="7">
        <v>103.35354147022623</v>
      </c>
      <c r="H78" s="7">
        <v>102.76616829060771</v>
      </c>
      <c r="I78" s="7">
        <v>102.1833501582867</v>
      </c>
      <c r="J78" s="7">
        <v>101.60504289636226</v>
      </c>
      <c r="K78" s="7">
        <v>101.03120283979445</v>
      </c>
      <c r="L78" s="7">
        <v>100.46178682851925</v>
      </c>
      <c r="M78" s="7">
        <v>99.89675220066853</v>
      </c>
      <c r="N78" s="7">
        <v>99.336056785894087</v>
      </c>
      <c r="O78" s="7">
        <v>98.779658898792789</v>
      </c>
      <c r="P78" s="7">
        <v>98.22751733243247</v>
      </c>
      <c r="Q78" s="7">
        <v>97.679591351975532</v>
      </c>
      <c r="R78" s="7">
        <v>97.135840688399583</v>
      </c>
      <c r="S78" s="7">
        <v>96.596225532313085</v>
      </c>
      <c r="T78" s="7">
        <v>96.06070652786407</v>
      </c>
      <c r="U78" s="7">
        <v>95.529244766741158</v>
      </c>
      <c r="V78" s="7">
        <v>95.001801782264479</v>
      </c>
      <c r="W78" s="7">
        <v>94.478339543565525</v>
      </c>
      <c r="X78" s="7">
        <v>93.95882044985423</v>
      </c>
      <c r="Y78" s="7">
        <v>93.443207324771805</v>
      </c>
      <c r="Z78" s="7">
        <v>92.931463410827988</v>
      </c>
      <c r="AA78" s="7">
        <v>92.423552363921189</v>
      </c>
      <c r="AC78" s="20">
        <f t="shared" ref="AC78:AC91" ca="1" si="9">OFFSET($A78,0,26-(ROW($A78)-ROW($A$76)))</f>
        <v>93.443207324771805</v>
      </c>
      <c r="AD78" s="7">
        <f t="shared" ca="1" si="7"/>
        <v>99.336056785894087</v>
      </c>
      <c r="AE78" s="7">
        <f t="shared" ca="1" si="8"/>
        <v>97.130297903438716</v>
      </c>
    </row>
    <row r="79" spans="1:31" x14ac:dyDescent="0.35">
      <c r="A79" s="16">
        <v>47709</v>
      </c>
      <c r="B79" s="7">
        <v>105.93668070402762</v>
      </c>
      <c r="C79" s="7">
        <v>105.37188740400913</v>
      </c>
      <c r="D79" s="7">
        <v>104.81127695890571</v>
      </c>
      <c r="E79" s="7">
        <v>104.25481028431699</v>
      </c>
      <c r="F79" s="7">
        <v>103.7024487352523</v>
      </c>
      <c r="G79" s="7">
        <v>103.15415410036471</v>
      </c>
      <c r="H79" s="7">
        <v>102.60988859627184</v>
      </c>
      <c r="I79" s="7">
        <v>102.06961486196124</v>
      </c>
      <c r="J79" s="7">
        <v>101.53329595327975</v>
      </c>
      <c r="K79" s="7">
        <v>101.00089533750446</v>
      </c>
      <c r="L79" s="7">
        <v>100.47237688799495</v>
      </c>
      <c r="M79" s="7">
        <v>99.947704878924583</v>
      </c>
      <c r="N79" s="7">
        <v>99.426843980090084</v>
      </c>
      <c r="O79" s="7">
        <v>98.909759251797652</v>
      </c>
      <c r="P79" s="7">
        <v>98.396416139824893</v>
      </c>
      <c r="Q79" s="7">
        <v>97.886780470456728</v>
      </c>
      <c r="R79" s="7">
        <v>97.380818445594485</v>
      </c>
      <c r="S79" s="7">
        <v>96.878496637936763</v>
      </c>
      <c r="T79" s="7">
        <v>96.379781986230896</v>
      </c>
      <c r="U79" s="7">
        <v>95.884641790593804</v>
      </c>
      <c r="V79" s="7">
        <v>95.393043707901512</v>
      </c>
      <c r="W79" s="7">
        <v>94.90495574724531</v>
      </c>
      <c r="X79" s="7">
        <v>94.420346265454569</v>
      </c>
      <c r="Y79" s="7">
        <v>93.939183962684226</v>
      </c>
      <c r="Z79" s="7">
        <v>93.461437878066306</v>
      </c>
      <c r="AA79" s="7">
        <v>92.98707738542447</v>
      </c>
      <c r="AC79" s="20">
        <f t="shared" ca="1" si="9"/>
        <v>94.420346265454569</v>
      </c>
      <c r="AD79" s="7">
        <f t="shared" ca="1" si="7"/>
        <v>99.426843980090084</v>
      </c>
      <c r="AE79" s="7">
        <f t="shared" ca="1" si="8"/>
        <v>102.60177558831084</v>
      </c>
    </row>
    <row r="80" spans="1:31" x14ac:dyDescent="0.35">
      <c r="A80" s="16">
        <v>47801</v>
      </c>
      <c r="B80" s="7">
        <v>105.44176048426174</v>
      </c>
      <c r="C80" s="7">
        <v>104.92079254233822</v>
      </c>
      <c r="D80" s="7">
        <v>104.40344677153935</v>
      </c>
      <c r="E80" s="7">
        <v>103.88969097905665</v>
      </c>
      <c r="F80" s="7">
        <v>103.37949331925802</v>
      </c>
      <c r="G80" s="7">
        <v>102.87282228929163</v>
      </c>
      <c r="H80" s="7">
        <v>102.36964672475381</v>
      </c>
      <c r="I80" s="7">
        <v>101.86993579541941</v>
      </c>
      <c r="J80" s="7">
        <v>101.37365900103441</v>
      </c>
      <c r="K80" s="7">
        <v>100.88078616716891</v>
      </c>
      <c r="L80" s="7">
        <v>100.39128744113022</v>
      </c>
      <c r="M80" s="7">
        <v>99.905133287934504</v>
      </c>
      <c r="N80" s="7">
        <v>99.422294486336611</v>
      </c>
      <c r="O80" s="7">
        <v>98.942742124916492</v>
      </c>
      <c r="P80" s="7">
        <v>98.466447598221848</v>
      </c>
      <c r="Q80" s="7">
        <v>97.993382602965923</v>
      </c>
      <c r="R80" s="7">
        <v>97.523519134279198</v>
      </c>
      <c r="S80" s="7">
        <v>97.056829482014848</v>
      </c>
      <c r="T80" s="7">
        <v>96.593286227106475</v>
      </c>
      <c r="U80" s="7">
        <v>96.132862237977321</v>
      </c>
      <c r="V80" s="7">
        <v>95.675530667000785</v>
      </c>
      <c r="W80" s="7">
        <v>95.221264947010383</v>
      </c>
      <c r="X80" s="7">
        <v>94.770038787859306</v>
      </c>
      <c r="Y80" s="7">
        <v>94.321826173028356</v>
      </c>
      <c r="Z80" s="7">
        <v>93.876601356281398</v>
      </c>
      <c r="AA80" s="7">
        <v>93.434338858367838</v>
      </c>
      <c r="AC80" s="20">
        <f t="shared" ca="1" si="9"/>
        <v>95.221264947010383</v>
      </c>
      <c r="AD80" s="7">
        <f t="shared" ca="1" si="7"/>
        <v>93.876601356281398</v>
      </c>
      <c r="AE80" s="7">
        <f t="shared" ca="1" si="8"/>
        <v>98.461436400330982</v>
      </c>
    </row>
    <row r="81" spans="1:31" x14ac:dyDescent="0.35">
      <c r="A81" s="16">
        <v>47893</v>
      </c>
      <c r="B81" s="7">
        <v>104.96279514833532</v>
      </c>
      <c r="C81" s="7">
        <v>104.48683774587181</v>
      </c>
      <c r="D81" s="7">
        <v>104.01397567820291</v>
      </c>
      <c r="E81" s="7">
        <v>103.54418284373287</v>
      </c>
      <c r="F81" s="7">
        <v>103.07743341039713</v>
      </c>
      <c r="G81" s="7">
        <v>102.61370181237326</v>
      </c>
      <c r="H81" s="7">
        <v>102.15296274683793</v>
      </c>
      <c r="I81" s="7">
        <v>101.69519117076972</v>
      </c>
      <c r="J81" s="7">
        <v>101.24036229779658</v>
      </c>
      <c r="K81" s="7">
        <v>100.78845159508738</v>
      </c>
      <c r="L81" s="7">
        <v>100.33943478028701</v>
      </c>
      <c r="M81" s="7">
        <v>99.893287818493945</v>
      </c>
      <c r="N81" s="7">
        <v>99.44998691928015</v>
      </c>
      <c r="O81" s="7">
        <v>99.009508533752069</v>
      </c>
      <c r="P81" s="7">
        <v>98.571829351652639</v>
      </c>
      <c r="Q81" s="7">
        <v>98.136926298503184</v>
      </c>
      <c r="R81" s="7">
        <v>97.70477653278482</v>
      </c>
      <c r="S81" s="7">
        <v>97.275357443158697</v>
      </c>
      <c r="T81" s="7">
        <v>96.848646645724699</v>
      </c>
      <c r="U81" s="7">
        <v>96.424621981317387</v>
      </c>
      <c r="V81" s="7">
        <v>96.003261512839259</v>
      </c>
      <c r="W81" s="7">
        <v>95.584543522630639</v>
      </c>
      <c r="X81" s="7">
        <v>95.168446509875011</v>
      </c>
      <c r="Y81" s="7">
        <v>94.754949188040314</v>
      </c>
      <c r="Z81" s="7">
        <v>94.344030482354498</v>
      </c>
      <c r="AA81" s="7">
        <v>93.935669527315795</v>
      </c>
      <c r="AC81" s="20">
        <f t="shared" ca="1" si="9"/>
        <v>96.003261512839259</v>
      </c>
      <c r="AD81" s="7">
        <f t="shared" ca="1" si="7"/>
        <v>104.01397567820291</v>
      </c>
      <c r="AE81" s="7">
        <f t="shared" ca="1" si="8"/>
        <v>99.816722866919818</v>
      </c>
    </row>
    <row r="82" spans="1:31" x14ac:dyDescent="0.35">
      <c r="A82" s="16">
        <v>47982</v>
      </c>
      <c r="B82" s="7">
        <v>104.49998049832317</v>
      </c>
      <c r="C82" s="7">
        <v>104.0702416177143</v>
      </c>
      <c r="D82" s="7">
        <v>103.643106660203</v>
      </c>
      <c r="E82" s="7">
        <v>103.21855485042681</v>
      </c>
      <c r="F82" s="7">
        <v>102.79656561804087</v>
      </c>
      <c r="G82" s="7">
        <v>102.37711859531019</v>
      </c>
      <c r="H82" s="7">
        <v>101.96019361473488</v>
      </c>
      <c r="I82" s="7">
        <v>101.5457707067073</v>
      </c>
      <c r="J82" s="7">
        <v>101.13383009720135</v>
      </c>
      <c r="K82" s="7">
        <v>100.72435220549288</v>
      </c>
      <c r="L82" s="7">
        <v>100.31731764191066</v>
      </c>
      <c r="M82" s="7">
        <v>99.912707205618034</v>
      </c>
      <c r="N82" s="7">
        <v>99.51050188242435</v>
      </c>
      <c r="O82" s="7">
        <v>99.110682842625451</v>
      </c>
      <c r="P82" s="7">
        <v>98.713231438873578</v>
      </c>
      <c r="Q82" s="7">
        <v>98.318129204075532</v>
      </c>
      <c r="R82" s="7">
        <v>97.9253578493189</v>
      </c>
      <c r="S82" s="7">
        <v>97.534899261826013</v>
      </c>
      <c r="T82" s="7">
        <v>97.146735502935059</v>
      </c>
      <c r="U82" s="7">
        <v>96.760848806108072</v>
      </c>
      <c r="V82" s="7">
        <v>96.377221574965361</v>
      </c>
      <c r="W82" s="7">
        <v>95.995836381345839</v>
      </c>
      <c r="X82" s="7">
        <v>95.616675963393035</v>
      </c>
      <c r="Y82" s="7">
        <v>95.239723223666374</v>
      </c>
      <c r="Z82" s="7">
        <v>94.864961227277291</v>
      </c>
      <c r="AA82" s="7">
        <v>94.492373200049826</v>
      </c>
      <c r="AC82" s="20">
        <f t="shared" ca="1" si="9"/>
        <v>96.760848806108072</v>
      </c>
      <c r="AD82" s="7">
        <f t="shared" ca="1" si="7"/>
        <v>99.51050188242435</v>
      </c>
      <c r="AE82" s="7">
        <f t="shared" ca="1" si="8"/>
        <v>102.60177558831084</v>
      </c>
    </row>
    <row r="83" spans="1:31" x14ac:dyDescent="0.35">
      <c r="A83" s="16">
        <v>48074</v>
      </c>
      <c r="B83" s="7">
        <v>104.05351473922903</v>
      </c>
      <c r="C83" s="7">
        <v>103.67122554901762</v>
      </c>
      <c r="D83" s="7">
        <v>103.29108591468662</v>
      </c>
      <c r="E83" s="7">
        <v>102.91307966023874</v>
      </c>
      <c r="F83" s="7">
        <v>102.53719076189694</v>
      </c>
      <c r="G83" s="7">
        <v>102.16340334638662</v>
      </c>
      <c r="H83" s="7">
        <v>101.79170168924071</v>
      </c>
      <c r="I83" s="7">
        <v>101.42207021312677</v>
      </c>
      <c r="J83" s="7">
        <v>101.05449348619621</v>
      </c>
      <c r="K83" s="7">
        <v>100.68895622045477</v>
      </c>
      <c r="L83" s="7">
        <v>100.32544327015461</v>
      </c>
      <c r="M83" s="7">
        <v>99.96393963020715</v>
      </c>
      <c r="N83" s="7">
        <v>99.604430434616745</v>
      </c>
      <c r="O83" s="7">
        <v>99.24690095493429</v>
      </c>
      <c r="P83" s="7">
        <v>98.891336598731243</v>
      </c>
      <c r="Q83" s="7">
        <v>98.537722908093272</v>
      </c>
      <c r="R83" s="7">
        <v>98.186045558133259</v>
      </c>
      <c r="S83" s="7">
        <v>97.836290355523474</v>
      </c>
      <c r="T83" s="7">
        <v>97.488443237046752</v>
      </c>
      <c r="U83" s="7">
        <v>97.142490268166085</v>
      </c>
      <c r="V83" s="7">
        <v>96.798417641612645</v>
      </c>
      <c r="W83" s="7">
        <v>96.456211675991881</v>
      </c>
      <c r="X83" s="7">
        <v>96.115858814407304</v>
      </c>
      <c r="Y83" s="7">
        <v>95.777345623101908</v>
      </c>
      <c r="Z83" s="7">
        <v>95.440658790116814</v>
      </c>
      <c r="AA83" s="7">
        <v>95.105785123966939</v>
      </c>
      <c r="AC83" s="20">
        <f t="shared" ca="1" si="9"/>
        <v>97.488443237046752</v>
      </c>
      <c r="AD83" s="7">
        <f t="shared" ca="1" si="7"/>
        <v>104.05351473922903</v>
      </c>
      <c r="AE83" s="7">
        <f t="shared" ca="1" si="8"/>
        <v>98.461436400330982</v>
      </c>
    </row>
    <row r="84" spans="1:31" x14ac:dyDescent="0.35">
      <c r="A84" s="16">
        <v>48166</v>
      </c>
      <c r="B84" s="7">
        <v>103.53548386527434</v>
      </c>
      <c r="C84" s="7">
        <v>103.19844057377097</v>
      </c>
      <c r="D84" s="7">
        <v>102.86313610673017</v>
      </c>
      <c r="E84" s="7">
        <v>102.52955818522069</v>
      </c>
      <c r="F84" s="7">
        <v>102.1976946401665</v>
      </c>
      <c r="G84" s="7">
        <v>101.86753341115816</v>
      </c>
      <c r="H84" s="7">
        <v>101.53906254527917</v>
      </c>
      <c r="I84" s="7">
        <v>101.21227019594717</v>
      </c>
      <c r="J84" s="7">
        <v>100.88714462176986</v>
      </c>
      <c r="K84" s="7">
        <v>100.56367418541525</v>
      </c>
      <c r="L84" s="7">
        <v>100.24184735249632</v>
      </c>
      <c r="M84" s="7">
        <v>99.921652690469429</v>
      </c>
      <c r="N84" s="7">
        <v>99.603078867546671</v>
      </c>
      <c r="O84" s="7">
        <v>99.2861146516221</v>
      </c>
      <c r="P84" s="7">
        <v>98.970748909210812</v>
      </c>
      <c r="Q84" s="7">
        <v>98.656970604401806</v>
      </c>
      <c r="R84" s="7">
        <v>98.344768797823562</v>
      </c>
      <c r="S84" s="7">
        <v>98.034132645622691</v>
      </c>
      <c r="T84" s="7">
        <v>97.725051398454909</v>
      </c>
      <c r="U84" s="7">
        <v>97.417514400489026</v>
      </c>
      <c r="V84" s="7">
        <v>97.111511088422745</v>
      </c>
      <c r="W84" s="7">
        <v>96.807030990510867</v>
      </c>
      <c r="X84" s="7">
        <v>96.504063725605434</v>
      </c>
      <c r="Y84" s="7">
        <v>96.202599002207677</v>
      </c>
      <c r="Z84" s="7">
        <v>95.902626617531425</v>
      </c>
      <c r="AA84" s="7">
        <v>95.604136456578317</v>
      </c>
      <c r="AC84" s="20">
        <f t="shared" ca="1" si="9"/>
        <v>98.034132645622691</v>
      </c>
      <c r="AD84" s="7">
        <f t="shared" ca="1" si="7"/>
        <v>97.725051398454909</v>
      </c>
      <c r="AE84" s="7">
        <f t="shared" ca="1" si="8"/>
        <v>99.816722866919818</v>
      </c>
    </row>
    <row r="85" spans="1:31" x14ac:dyDescent="0.35">
      <c r="A85" s="16">
        <v>48258</v>
      </c>
      <c r="B85" s="7">
        <v>103.03312425579311</v>
      </c>
      <c r="C85" s="7">
        <v>102.74251902964923</v>
      </c>
      <c r="D85" s="7">
        <v>102.45327911105289</v>
      </c>
      <c r="E85" s="7">
        <v>102.16539548979667</v>
      </c>
      <c r="F85" s="7">
        <v>101.8788592321139</v>
      </c>
      <c r="G85" s="7">
        <v>101.593661479887</v>
      </c>
      <c r="H85" s="7">
        <v>101.30979344986544</v>
      </c>
      <c r="I85" s="7">
        <v>101.02724643289305</v>
      </c>
      <c r="J85" s="7">
        <v>100.74601179314496</v>
      </c>
      <c r="K85" s="7">
        <v>100.46608096737378</v>
      </c>
      <c r="L85" s="7">
        <v>100.18744546416488</v>
      </c>
      <c r="M85" s="7">
        <v>99.910096863200593</v>
      </c>
      <c r="N85" s="7">
        <v>99.634026814533513</v>
      </c>
      <c r="O85" s="7">
        <v>99.35922703786845</v>
      </c>
      <c r="P85" s="7">
        <v>99.085689321852982</v>
      </c>
      <c r="Q85" s="7">
        <v>98.81340552337673</v>
      </c>
      <c r="R85" s="7">
        <v>98.542367566878681</v>
      </c>
      <c r="S85" s="7">
        <v>98.272567443663235</v>
      </c>
      <c r="T85" s="7">
        <v>98.003997211224117</v>
      </c>
      <c r="U85" s="7">
        <v>97.736648992576505</v>
      </c>
      <c r="V85" s="7">
        <v>97.470514975597027</v>
      </c>
      <c r="W85" s="7">
        <v>97.205587412371671</v>
      </c>
      <c r="X85" s="7">
        <v>96.94185861855135</v>
      </c>
      <c r="Y85" s="7">
        <v>96.679320972715303</v>
      </c>
      <c r="Z85" s="7">
        <v>96.417966915741601</v>
      </c>
      <c r="AA85" s="7">
        <v>96.157788950185676</v>
      </c>
      <c r="AC85" s="20">
        <f t="shared" ca="1" si="9"/>
        <v>98.542367566878681</v>
      </c>
      <c r="AD85" s="7">
        <f t="shared" ca="1" si="7"/>
        <v>99.085689321852982</v>
      </c>
      <c r="AE85" s="7">
        <f t="shared" ca="1" si="8"/>
        <v>98.461436400330982</v>
      </c>
    </row>
    <row r="86" spans="1:31" x14ac:dyDescent="0.35">
      <c r="A86" s="16">
        <v>48348</v>
      </c>
      <c r="B86" s="7">
        <v>102.54662823221679</v>
      </c>
      <c r="C86" s="7">
        <v>102.30367599158654</v>
      </c>
      <c r="D86" s="7">
        <v>102.06175438474138</v>
      </c>
      <c r="E86" s="7">
        <v>101.82085708445139</v>
      </c>
      <c r="F86" s="7">
        <v>101.58097781424355</v>
      </c>
      <c r="G86" s="7">
        <v>101.34211034789921</v>
      </c>
      <c r="H86" s="7">
        <v>101.10424850895791</v>
      </c>
      <c r="I86" s="7">
        <v>100.86738617022679</v>
      </c>
      <c r="J86" s="7">
        <v>100.63151725329585</v>
      </c>
      <c r="K86" s="7">
        <v>100.39663572805878</v>
      </c>
      <c r="L86" s="7">
        <v>100.16273561223946</v>
      </c>
      <c r="M86" s="7">
        <v>99.929810970923924</v>
      </c>
      <c r="N86" s="7">
        <v>99.697855916097851</v>
      </c>
      <c r="O86" s="7">
        <v>99.466864606189347</v>
      </c>
      <c r="P86" s="7">
        <v>99.236831245617097</v>
      </c>
      <c r="Q86" s="7">
        <v>99.007750084343542</v>
      </c>
      <c r="R86" s="7">
        <v>98.779615417433604</v>
      </c>
      <c r="S86" s="7">
        <v>98.552421584618031</v>
      </c>
      <c r="T86" s="7">
        <v>98.326162969862125</v>
      </c>
      <c r="U86" s="7">
        <v>98.100834000939287</v>
      </c>
      <c r="V86" s="7">
        <v>97.87642914900934</v>
      </c>
      <c r="W86" s="7">
        <v>97.652942928201952</v>
      </c>
      <c r="X86" s="7">
        <v>97.430369895204464</v>
      </c>
      <c r="Y86" s="7">
        <v>97.208704648854805</v>
      </c>
      <c r="Z86" s="7">
        <v>96.987941829738617</v>
      </c>
      <c r="AA86" s="7">
        <v>96.768076119791303</v>
      </c>
      <c r="AC86" s="20">
        <f t="shared" ca="1" si="9"/>
        <v>99.007750084343542</v>
      </c>
      <c r="AD86" s="7">
        <f t="shared" ca="1" si="7"/>
        <v>97.430369895204464</v>
      </c>
      <c r="AE86" s="7">
        <f t="shared" ca="1" si="8"/>
        <v>101.19666332698625</v>
      </c>
    </row>
    <row r="87" spans="1:31" x14ac:dyDescent="0.35">
      <c r="A87" s="16">
        <v>48440</v>
      </c>
      <c r="B87" s="7">
        <v>102.07619047619048</v>
      </c>
      <c r="C87" s="7">
        <v>101.88212927756655</v>
      </c>
      <c r="D87" s="7">
        <v>101.6888045540797</v>
      </c>
      <c r="E87" s="7">
        <v>101.49621212121212</v>
      </c>
      <c r="F87" s="7">
        <v>101.30434782608695</v>
      </c>
      <c r="G87" s="7">
        <v>101.11320754716981</v>
      </c>
      <c r="H87" s="7">
        <v>100.92278719397363</v>
      </c>
      <c r="I87" s="7">
        <v>100.73308270676692</v>
      </c>
      <c r="J87" s="7">
        <v>100.54409005628519</v>
      </c>
      <c r="K87" s="7">
        <v>100.35580524344569</v>
      </c>
      <c r="L87" s="7">
        <v>100.16822429906541</v>
      </c>
      <c r="M87" s="7">
        <v>99.981343283582092</v>
      </c>
      <c r="N87" s="7">
        <v>99.795158286778403</v>
      </c>
      <c r="O87" s="7">
        <v>99.609665427509299</v>
      </c>
      <c r="P87" s="7">
        <v>99.424860853432278</v>
      </c>
      <c r="Q87" s="7">
        <v>99.240740740740748</v>
      </c>
      <c r="R87" s="7">
        <v>99.057301293900181</v>
      </c>
      <c r="S87" s="7">
        <v>98.874538745387454</v>
      </c>
      <c r="T87" s="7">
        <v>98.692449355432785</v>
      </c>
      <c r="U87" s="7">
        <v>98.51102941176471</v>
      </c>
      <c r="V87" s="7">
        <v>98.330275229357795</v>
      </c>
      <c r="W87" s="7">
        <v>98.150183150183153</v>
      </c>
      <c r="X87" s="7">
        <v>97.970749542961613</v>
      </c>
      <c r="Y87" s="7">
        <v>97.791970802919707</v>
      </c>
      <c r="Z87" s="7">
        <v>97.613843351548269</v>
      </c>
      <c r="AA87" s="7">
        <v>97.436363636363637</v>
      </c>
      <c r="AC87" s="20">
        <f t="shared" ca="1" si="9"/>
        <v>99.424860853432278</v>
      </c>
      <c r="AD87" s="7">
        <f t="shared" ca="1" si="7"/>
        <v>101.30434782608695</v>
      </c>
      <c r="AE87" s="7">
        <f t="shared" ca="1" si="8"/>
        <v>99.816722866919818</v>
      </c>
    </row>
    <row r="88" spans="1:31" x14ac:dyDescent="0.35">
      <c r="A88" s="16">
        <v>48532</v>
      </c>
      <c r="B88" s="7">
        <v>101.51102409638554</v>
      </c>
      <c r="C88" s="7">
        <v>101.36188161693937</v>
      </c>
      <c r="D88" s="7">
        <v>101.21316914944738</v>
      </c>
      <c r="E88" s="7">
        <v>101.06488483685222</v>
      </c>
      <c r="F88" s="7">
        <v>100.91702683277431</v>
      </c>
      <c r="G88" s="7">
        <v>100.76959330143542</v>
      </c>
      <c r="H88" s="7">
        <v>100.62258241758242</v>
      </c>
      <c r="I88" s="7">
        <v>100.47599236641221</v>
      </c>
      <c r="J88" s="7">
        <v>100.3298213434969</v>
      </c>
      <c r="K88" s="7">
        <v>100.18406755470981</v>
      </c>
      <c r="L88" s="7">
        <v>100.03872921615202</v>
      </c>
      <c r="M88" s="7">
        <v>99.893804554079694</v>
      </c>
      <c r="N88" s="7">
        <v>99.749291804831827</v>
      </c>
      <c r="O88" s="7">
        <v>99.605189214758767</v>
      </c>
      <c r="P88" s="7">
        <v>99.461495040151163</v>
      </c>
      <c r="Q88" s="7">
        <v>99.318207547169806</v>
      </c>
      <c r="R88" s="7">
        <v>99.175325011775783</v>
      </c>
      <c r="S88" s="7">
        <v>99.032845719661353</v>
      </c>
      <c r="T88" s="7">
        <v>98.890767966181315</v>
      </c>
      <c r="U88" s="7">
        <v>98.749090056285183</v>
      </c>
      <c r="V88" s="7">
        <v>98.607810304449643</v>
      </c>
      <c r="W88" s="7">
        <v>98.4669270346118</v>
      </c>
      <c r="X88" s="7">
        <v>98.32643858010276</v>
      </c>
      <c r="Y88" s="7">
        <v>98.18634328358209</v>
      </c>
      <c r="Z88" s="7">
        <v>98.046639496972517</v>
      </c>
      <c r="AA88" s="7">
        <v>97.907325581395355</v>
      </c>
      <c r="AC88" s="20">
        <f t="shared" ca="1" si="9"/>
        <v>99.605189214758767</v>
      </c>
      <c r="AD88" s="7">
        <f t="shared" ca="1" si="7"/>
        <v>100.03872921615202</v>
      </c>
      <c r="AE88" s="7">
        <f t="shared" ca="1" si="8"/>
        <v>99.816722866919818</v>
      </c>
    </row>
    <row r="89" spans="1:31" x14ac:dyDescent="0.35">
      <c r="A89" s="16">
        <v>48624</v>
      </c>
      <c r="B89" s="7">
        <v>100.97585365853659</v>
      </c>
      <c r="C89" s="7">
        <v>100.87393762183235</v>
      </c>
      <c r="D89" s="7">
        <v>100.7722200584226</v>
      </c>
      <c r="E89" s="7">
        <v>100.67070038910506</v>
      </c>
      <c r="F89" s="7">
        <v>100.56937803692907</v>
      </c>
      <c r="G89" s="7">
        <v>100.46825242718447</v>
      </c>
      <c r="H89" s="7">
        <v>100.36732298739089</v>
      </c>
      <c r="I89" s="7">
        <v>100.26658914728682</v>
      </c>
      <c r="J89" s="7">
        <v>100.16605033881899</v>
      </c>
      <c r="K89" s="7">
        <v>100.06570599613153</v>
      </c>
      <c r="L89" s="7">
        <v>99.965555555555568</v>
      </c>
      <c r="M89" s="7">
        <v>99.865598455598459</v>
      </c>
      <c r="N89" s="7">
        <v>99.765834136933478</v>
      </c>
      <c r="O89" s="7">
        <v>99.666262042389206</v>
      </c>
      <c r="P89" s="7">
        <v>99.566881616939369</v>
      </c>
      <c r="Q89" s="7">
        <v>99.467692307692303</v>
      </c>
      <c r="R89" s="7">
        <v>99.368693563880896</v>
      </c>
      <c r="S89" s="7">
        <v>99.269884836852214</v>
      </c>
      <c r="T89" s="7">
        <v>99.171265580057536</v>
      </c>
      <c r="U89" s="7">
        <v>99.072835249042143</v>
      </c>
      <c r="V89" s="7">
        <v>98.974593301435419</v>
      </c>
      <c r="W89" s="7">
        <v>98.876539196940726</v>
      </c>
      <c r="X89" s="7">
        <v>98.778672397325707</v>
      </c>
      <c r="Y89" s="7">
        <v>98.680992366412212</v>
      </c>
      <c r="Z89" s="7">
        <v>98.583498570066737</v>
      </c>
      <c r="AA89" s="7">
        <v>98.486190476190473</v>
      </c>
      <c r="AC89" s="20">
        <f t="shared" ca="1" si="9"/>
        <v>99.765834136933478</v>
      </c>
      <c r="AD89" s="7">
        <f t="shared" ca="1" si="7"/>
        <v>99.269884836852214</v>
      </c>
      <c r="AE89" s="7">
        <f t="shared" ca="1" si="8"/>
        <v>98.461436400330982</v>
      </c>
    </row>
    <row r="90" spans="1:31" x14ac:dyDescent="0.35">
      <c r="A90" s="16">
        <v>48713</v>
      </c>
      <c r="B90" s="7">
        <v>100.4717901234568</v>
      </c>
      <c r="C90" s="7">
        <v>100.4195409674235</v>
      </c>
      <c r="D90" s="7">
        <v>100.36734336457819</v>
      </c>
      <c r="E90" s="7">
        <v>100.31519723865878</v>
      </c>
      <c r="F90" s="7">
        <v>100.26310251355348</v>
      </c>
      <c r="G90" s="7">
        <v>100.21105911330051</v>
      </c>
      <c r="H90" s="7">
        <v>100.15906696208764</v>
      </c>
      <c r="I90" s="7">
        <v>100.10712598425197</v>
      </c>
      <c r="J90" s="7">
        <v>100.0552361042794</v>
      </c>
      <c r="K90" s="7">
        <v>100.00339724680434</v>
      </c>
      <c r="L90" s="7">
        <v>99.951609336609337</v>
      </c>
      <c r="M90" s="7">
        <v>99.899872298624757</v>
      </c>
      <c r="N90" s="7">
        <v>99.848186057928331</v>
      </c>
      <c r="O90" s="7">
        <v>99.796550539744857</v>
      </c>
      <c r="P90" s="7">
        <v>99.744965669445804</v>
      </c>
      <c r="Q90" s="7">
        <v>99.693431372549014</v>
      </c>
      <c r="R90" s="7">
        <v>99.641947574718287</v>
      </c>
      <c r="S90" s="7">
        <v>99.590514201762986</v>
      </c>
      <c r="T90" s="7">
        <v>99.539131179637778</v>
      </c>
      <c r="U90" s="7">
        <v>99.487798434442269</v>
      </c>
      <c r="V90" s="7">
        <v>99.436515892420545</v>
      </c>
      <c r="W90" s="7">
        <v>99.385283479960904</v>
      </c>
      <c r="X90" s="7">
        <v>99.334101123595502</v>
      </c>
      <c r="Y90" s="7">
        <v>99.282968749999995</v>
      </c>
      <c r="Z90" s="7">
        <v>99.23188628599317</v>
      </c>
      <c r="AA90" s="7">
        <v>99.180853658536591</v>
      </c>
      <c r="AC90" s="20">
        <f t="shared" ca="1" si="9"/>
        <v>99.899872298624757</v>
      </c>
      <c r="AD90" s="7">
        <f t="shared" ca="1" si="7"/>
        <v>99.23188628599317</v>
      </c>
      <c r="AE90" s="7">
        <f t="shared" ca="1" si="8"/>
        <v>102.60177558831084</v>
      </c>
    </row>
    <row r="91" spans="1:31" s="18" customFormat="1" x14ac:dyDescent="0.35">
      <c r="A91" s="17">
        <v>48804</v>
      </c>
      <c r="B91" s="19">
        <v>100.00506040056165</v>
      </c>
      <c r="C91" s="19">
        <v>100.00446512479061</v>
      </c>
      <c r="D91" s="19">
        <v>100.00386985563276</v>
      </c>
      <c r="E91" s="19">
        <v>100.00327459308801</v>
      </c>
      <c r="F91" s="19">
        <v>100.00267933715618</v>
      </c>
      <c r="G91" s="19">
        <v>100.00208408783722</v>
      </c>
      <c r="H91" s="19">
        <v>100.00148884513099</v>
      </c>
      <c r="I91" s="19">
        <v>100.0008936090374</v>
      </c>
      <c r="J91" s="19">
        <v>100.00029837955634</v>
      </c>
      <c r="K91" s="19">
        <v>99.999703156687701</v>
      </c>
      <c r="L91" s="19">
        <v>99.999107940431344</v>
      </c>
      <c r="M91" s="19">
        <v>99.998512730787184</v>
      </c>
      <c r="N91" s="19">
        <v>99.997917527755106</v>
      </c>
      <c r="O91" s="19">
        <v>99.997322331334985</v>
      </c>
      <c r="P91" s="19">
        <v>99.996727141526733</v>
      </c>
      <c r="Q91" s="19">
        <v>99.996131958330267</v>
      </c>
      <c r="R91" s="19">
        <v>99.9955367817454</v>
      </c>
      <c r="S91" s="19">
        <v>99.994941611772077</v>
      </c>
      <c r="T91" s="19">
        <v>99.99434644841017</v>
      </c>
      <c r="U91" s="19">
        <v>99.993751291659564</v>
      </c>
      <c r="V91" s="19">
        <v>99.993156141520174</v>
      </c>
      <c r="W91" s="19">
        <v>99.992560997991887</v>
      </c>
      <c r="X91" s="19">
        <v>99.991965861074561</v>
      </c>
      <c r="Y91" s="19">
        <v>99.991370730768097</v>
      </c>
      <c r="Z91" s="19">
        <v>99.990775607072393</v>
      </c>
      <c r="AA91" s="19">
        <v>99.990180489987353</v>
      </c>
      <c r="AC91" s="20">
        <f t="shared" ca="1" si="9"/>
        <v>99.999107940431344</v>
      </c>
      <c r="AD91" s="7">
        <f t="shared" ca="1" si="7"/>
        <v>99.998512730787184</v>
      </c>
      <c r="AE91" s="5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4E4C-8293-42B3-B480-538528A9CBB4}">
  <dimension ref="A1:AC81"/>
  <sheetViews>
    <sheetView workbookViewId="0">
      <pane ySplit="8" topLeftCell="A9" activePane="bottomLeft" state="frozen"/>
      <selection pane="bottomLeft"/>
    </sheetView>
  </sheetViews>
  <sheetFormatPr defaultRowHeight="13.5" x14ac:dyDescent="0.35"/>
  <cols>
    <col min="1" max="1" width="15.8984375" bestFit="1" customWidth="1"/>
    <col min="2" max="27" width="12.3984375" bestFit="1" customWidth="1"/>
    <col min="28" max="28" width="2.69921875" customWidth="1"/>
    <col min="29" max="29" width="12.3984375" bestFit="1" customWidth="1"/>
  </cols>
  <sheetData>
    <row r="1" spans="1:7" x14ac:dyDescent="0.35">
      <c r="A1" s="3" t="s">
        <v>0</v>
      </c>
      <c r="B1" s="4">
        <v>45152</v>
      </c>
    </row>
    <row r="2" spans="1:7" x14ac:dyDescent="0.35">
      <c r="A2" s="3" t="s">
        <v>1</v>
      </c>
      <c r="B2" s="4">
        <v>48805</v>
      </c>
    </row>
    <row r="3" spans="1:7" x14ac:dyDescent="0.35">
      <c r="A3" s="3" t="s">
        <v>2</v>
      </c>
      <c r="B3" s="12">
        <v>7.1800000000000003E-2</v>
      </c>
    </row>
    <row r="4" spans="1:7" x14ac:dyDescent="0.35">
      <c r="A4" s="3" t="s">
        <v>3</v>
      </c>
      <c r="B4" s="12">
        <v>7.1999999999999995E-2</v>
      </c>
    </row>
    <row r="5" spans="1:7" x14ac:dyDescent="0.35">
      <c r="A5" s="3" t="s">
        <v>4</v>
      </c>
      <c r="B5" s="5">
        <v>100</v>
      </c>
    </row>
    <row r="6" spans="1:7" x14ac:dyDescent="0.35">
      <c r="A6" s="3" t="s">
        <v>5</v>
      </c>
      <c r="B6" s="6">
        <v>1</v>
      </c>
    </row>
    <row r="7" spans="1:7" x14ac:dyDescent="0.35">
      <c r="A7" s="3" t="s">
        <v>6</v>
      </c>
      <c r="B7" s="6">
        <v>4</v>
      </c>
    </row>
    <row r="8" spans="1:7" x14ac:dyDescent="0.35">
      <c r="A8" s="8" t="s">
        <v>7</v>
      </c>
      <c r="B8" s="9">
        <f>PRICE(B1,B2,B3,B4,B5,B6,B7)</f>
        <v>99.860817886920501</v>
      </c>
    </row>
    <row r="9" spans="1:7" ht="15.5" x14ac:dyDescent="0.35">
      <c r="A9" s="6" t="s">
        <v>8</v>
      </c>
      <c r="B9" s="1" t="s">
        <v>9</v>
      </c>
      <c r="C9" s="2" t="s">
        <v>10</v>
      </c>
      <c r="D9" s="2" t="s">
        <v>15</v>
      </c>
      <c r="E9" s="2" t="s">
        <v>16</v>
      </c>
      <c r="F9" s="2" t="s">
        <v>17</v>
      </c>
      <c r="G9" s="2"/>
    </row>
    <row r="10" spans="1:7" x14ac:dyDescent="0.35">
      <c r="A10" s="2">
        <v>0</v>
      </c>
      <c r="B10" s="10">
        <f>B1</f>
        <v>45152</v>
      </c>
      <c r="C10" s="7">
        <v>0</v>
      </c>
      <c r="D10" s="22">
        <f>POWER(1+$B$4,-1*A10)</f>
        <v>1</v>
      </c>
      <c r="E10" s="7">
        <f>C10*D10</f>
        <v>0</v>
      </c>
      <c r="F10" s="7">
        <f>E10*A10</f>
        <v>0</v>
      </c>
      <c r="G10" s="7"/>
    </row>
    <row r="11" spans="1:7" x14ac:dyDescent="0.35">
      <c r="A11" s="2">
        <v>1</v>
      </c>
      <c r="B11" s="10">
        <f>DATE(YEAR($B$2)-(10-$A11),MONTH($B$2), DAY($B$2))</f>
        <v>45518</v>
      </c>
      <c r="C11" s="7">
        <f>IF(B11=$B$2,$B$5*(1+$B$3),$B$5*$B$3)</f>
        <v>7.1800000000000006</v>
      </c>
      <c r="D11" s="22">
        <f t="shared" ref="D11:D20" si="0">POWER(1+$B$4,-1*A11)</f>
        <v>0.93283582089552231</v>
      </c>
      <c r="E11" s="7">
        <f t="shared" ref="E11:E20" si="1">C11*D11</f>
        <v>6.6977611940298507</v>
      </c>
      <c r="F11" s="7">
        <f t="shared" ref="F11:F20" si="2">E11*A11</f>
        <v>6.6977611940298507</v>
      </c>
      <c r="G11" s="7"/>
    </row>
    <row r="12" spans="1:7" x14ac:dyDescent="0.35">
      <c r="A12" s="2">
        <v>2</v>
      </c>
      <c r="B12" s="10">
        <f t="shared" ref="B12:B20" si="3">DATE(YEAR($B$2)-(10-$A12),MONTH($B$2), DAY($B$2))</f>
        <v>45883</v>
      </c>
      <c r="C12" s="7">
        <f t="shared" ref="C12:C20" si="4">IF(B12=$B$2,$B$5*(1+$B$3),$B$5*$B$3)</f>
        <v>7.1800000000000006</v>
      </c>
      <c r="D12" s="22">
        <f t="shared" si="0"/>
        <v>0.87018266874582295</v>
      </c>
      <c r="E12" s="7">
        <f t="shared" si="1"/>
        <v>6.2479115615950089</v>
      </c>
      <c r="F12" s="7">
        <f t="shared" si="2"/>
        <v>12.495823123190018</v>
      </c>
      <c r="G12" s="7"/>
    </row>
    <row r="13" spans="1:7" x14ac:dyDescent="0.35">
      <c r="A13" s="2">
        <v>3</v>
      </c>
      <c r="B13" s="10">
        <f t="shared" si="3"/>
        <v>46248</v>
      </c>
      <c r="C13" s="7">
        <f t="shared" si="4"/>
        <v>7.1800000000000006</v>
      </c>
      <c r="D13" s="22">
        <f t="shared" si="0"/>
        <v>0.81173756412856624</v>
      </c>
      <c r="E13" s="7">
        <f t="shared" si="1"/>
        <v>5.8282757104431058</v>
      </c>
      <c r="F13" s="7">
        <f t="shared" si="2"/>
        <v>17.484827131329318</v>
      </c>
      <c r="G13" s="7"/>
    </row>
    <row r="14" spans="1:7" x14ac:dyDescent="0.35">
      <c r="A14" s="2">
        <v>4</v>
      </c>
      <c r="B14" s="10">
        <f t="shared" si="3"/>
        <v>46613</v>
      </c>
      <c r="C14" s="7">
        <f t="shared" si="4"/>
        <v>7.1800000000000006</v>
      </c>
      <c r="D14" s="22">
        <f t="shared" si="0"/>
        <v>0.75721787698560261</v>
      </c>
      <c r="E14" s="7">
        <f t="shared" si="1"/>
        <v>5.4368243567566275</v>
      </c>
      <c r="F14" s="7">
        <f t="shared" si="2"/>
        <v>21.74729742702651</v>
      </c>
      <c r="G14" s="7"/>
    </row>
    <row r="15" spans="1:7" x14ac:dyDescent="0.35">
      <c r="A15" s="2">
        <v>5</v>
      </c>
      <c r="B15" s="10">
        <f t="shared" si="3"/>
        <v>46979</v>
      </c>
      <c r="C15" s="7">
        <f t="shared" si="4"/>
        <v>7.1800000000000006</v>
      </c>
      <c r="D15" s="22">
        <f t="shared" si="0"/>
        <v>0.7063599598746293</v>
      </c>
      <c r="E15" s="7">
        <f t="shared" si="1"/>
        <v>5.0716645118998391</v>
      </c>
      <c r="F15" s="7">
        <f t="shared" si="2"/>
        <v>25.358322559499197</v>
      </c>
      <c r="G15" s="7"/>
    </row>
    <row r="16" spans="1:7" x14ac:dyDescent="0.35">
      <c r="A16" s="2">
        <v>6</v>
      </c>
      <c r="B16" s="10">
        <f t="shared" si="3"/>
        <v>47344</v>
      </c>
      <c r="C16" s="7">
        <f t="shared" si="4"/>
        <v>7.1800000000000006</v>
      </c>
      <c r="D16" s="22">
        <f t="shared" si="0"/>
        <v>0.65891787301737803</v>
      </c>
      <c r="E16" s="7">
        <f t="shared" si="1"/>
        <v>4.731030328264775</v>
      </c>
      <c r="F16" s="7">
        <f t="shared" si="2"/>
        <v>28.386181969588648</v>
      </c>
      <c r="G16" s="7"/>
    </row>
    <row r="17" spans="1:8" x14ac:dyDescent="0.35">
      <c r="A17" s="2">
        <v>7</v>
      </c>
      <c r="B17" s="10">
        <f t="shared" si="3"/>
        <v>47709</v>
      </c>
      <c r="C17" s="7">
        <f t="shared" si="4"/>
        <v>7.1800000000000006</v>
      </c>
      <c r="D17" s="22">
        <f t="shared" si="0"/>
        <v>0.6146621949788974</v>
      </c>
      <c r="E17" s="7">
        <f t="shared" si="1"/>
        <v>4.4132745599484835</v>
      </c>
      <c r="F17" s="7">
        <f t="shared" si="2"/>
        <v>30.892921919639384</v>
      </c>
      <c r="G17" s="7"/>
    </row>
    <row r="18" spans="1:8" x14ac:dyDescent="0.35">
      <c r="A18" s="2">
        <v>8</v>
      </c>
      <c r="B18" s="10">
        <f t="shared" si="3"/>
        <v>48074</v>
      </c>
      <c r="C18" s="7">
        <f t="shared" si="4"/>
        <v>7.1800000000000006</v>
      </c>
      <c r="D18" s="22">
        <f t="shared" si="0"/>
        <v>0.57337891322658319</v>
      </c>
      <c r="E18" s="7">
        <f t="shared" si="1"/>
        <v>4.1168605969668679</v>
      </c>
      <c r="F18" s="7">
        <f t="shared" si="2"/>
        <v>32.934884775734943</v>
      </c>
      <c r="G18" s="7"/>
    </row>
    <row r="19" spans="1:8" x14ac:dyDescent="0.35">
      <c r="A19" s="2">
        <v>9</v>
      </c>
      <c r="B19" s="10">
        <f t="shared" si="3"/>
        <v>48440</v>
      </c>
      <c r="C19" s="7">
        <f t="shared" si="4"/>
        <v>7.1800000000000006</v>
      </c>
      <c r="D19" s="22">
        <f t="shared" si="0"/>
        <v>0.53486838920390223</v>
      </c>
      <c r="E19" s="7">
        <f t="shared" si="1"/>
        <v>3.8403550344840185</v>
      </c>
      <c r="F19" s="7">
        <f t="shared" si="2"/>
        <v>34.563195310356164</v>
      </c>
      <c r="G19" s="7"/>
    </row>
    <row r="20" spans="1:8" x14ac:dyDescent="0.35">
      <c r="A20" s="2">
        <v>10</v>
      </c>
      <c r="B20" s="10">
        <f t="shared" si="3"/>
        <v>48805</v>
      </c>
      <c r="C20" s="7">
        <f t="shared" si="4"/>
        <v>107.18</v>
      </c>
      <c r="D20" s="22">
        <f t="shared" si="0"/>
        <v>0.49894439291408776</v>
      </c>
      <c r="E20" s="7">
        <f t="shared" si="1"/>
        <v>53.476860032531931</v>
      </c>
      <c r="F20" s="7">
        <f t="shared" si="2"/>
        <v>534.76860032531931</v>
      </c>
      <c r="G20" s="7"/>
    </row>
    <row r="21" spans="1:8" ht="14" thickBot="1" x14ac:dyDescent="0.4">
      <c r="E21" s="23">
        <f>SUM(E10:E20)</f>
        <v>99.860817886920501</v>
      </c>
      <c r="F21" s="23">
        <f>SUM(F10:F20)</f>
        <v>745.32981573571328</v>
      </c>
    </row>
    <row r="22" spans="1:8" ht="14" thickTop="1" x14ac:dyDescent="0.35"/>
    <row r="23" spans="1:8" x14ac:dyDescent="0.35">
      <c r="B23" s="14"/>
      <c r="C23" s="11"/>
      <c r="D23" s="11"/>
      <c r="E23" s="2" t="s">
        <v>19</v>
      </c>
      <c r="F23" s="22">
        <f>F21/E21</f>
        <v>7.4636862736263909</v>
      </c>
      <c r="G23" s="11"/>
    </row>
    <row r="24" spans="1:8" x14ac:dyDescent="0.35">
      <c r="E24" s="2" t="s">
        <v>18</v>
      </c>
      <c r="F24" s="22">
        <f>DURATION(B1,B2,B3,B4,B6,B7)</f>
        <v>7.4636862736263909</v>
      </c>
      <c r="G24" s="24">
        <f>DURATION(B1,DATE(YEAR(B2)+20,MONTH(B2),DAY(B2)),B3,B4,B6,B7)</f>
        <v>13.04540662032181</v>
      </c>
      <c r="H24" s="25" t="s">
        <v>20</v>
      </c>
    </row>
    <row r="26" spans="1:8" x14ac:dyDescent="0.35">
      <c r="E26" s="11" t="s">
        <v>21</v>
      </c>
      <c r="F26" s="22">
        <f>(-1/B8)*(B8-PRICE(B1,B2,B3,B4+0.01%,B5,B6,B7))/-0.01%</f>
        <v>6.959191767686141</v>
      </c>
    </row>
    <row r="27" spans="1:8" x14ac:dyDescent="0.35">
      <c r="E27" s="2" t="s">
        <v>22</v>
      </c>
      <c r="F27" s="22">
        <f>MDURATION(B1,B2,B3,B4,B6,B7)</f>
        <v>6.9623939119649165</v>
      </c>
    </row>
    <row r="50" spans="1:29" x14ac:dyDescent="0.35">
      <c r="A50" s="22">
        <f>G24</f>
        <v>13.04540662032181</v>
      </c>
      <c r="B50" s="15">
        <v>0.05</v>
      </c>
      <c r="C50" s="15">
        <v>5.2000000000000005E-2</v>
      </c>
      <c r="D50" s="15">
        <v>5.4000000000000006E-2</v>
      </c>
      <c r="E50" s="15">
        <v>5.6000000000000008E-2</v>
      </c>
      <c r="F50" s="15">
        <v>5.800000000000001E-2</v>
      </c>
      <c r="G50" s="15">
        <v>6.0000000000000012E-2</v>
      </c>
      <c r="H50" s="15">
        <v>6.2000000000000013E-2</v>
      </c>
      <c r="I50" s="15">
        <v>6.4000000000000015E-2</v>
      </c>
      <c r="J50" s="15">
        <v>6.6000000000000017E-2</v>
      </c>
      <c r="K50" s="15">
        <v>6.8000000000000019E-2</v>
      </c>
      <c r="L50" s="15">
        <v>7.0000000000000021E-2</v>
      </c>
      <c r="M50" s="15">
        <v>7.2000000000000022E-2</v>
      </c>
      <c r="N50" s="15">
        <v>7.4000000000000024E-2</v>
      </c>
      <c r="O50" s="15">
        <v>7.6000000000000026E-2</v>
      </c>
      <c r="P50" s="15">
        <v>7.8000000000000028E-2</v>
      </c>
      <c r="Q50" s="15">
        <v>8.0000000000000029E-2</v>
      </c>
      <c r="R50" s="15">
        <v>8.2000000000000031E-2</v>
      </c>
      <c r="S50" s="15">
        <v>8.4000000000000033E-2</v>
      </c>
      <c r="T50" s="15">
        <v>8.6000000000000035E-2</v>
      </c>
      <c r="U50" s="15">
        <v>8.8000000000000037E-2</v>
      </c>
      <c r="V50" s="15">
        <v>9.0000000000000038E-2</v>
      </c>
      <c r="W50" s="15">
        <v>9.200000000000004E-2</v>
      </c>
      <c r="X50" s="15">
        <v>9.4000000000000042E-2</v>
      </c>
      <c r="Y50" s="15">
        <v>9.6000000000000044E-2</v>
      </c>
      <c r="Z50" s="15">
        <v>9.8000000000000045E-2</v>
      </c>
      <c r="AA50" s="15">
        <v>0.10000000000000005</v>
      </c>
    </row>
    <row r="51" spans="1:29" x14ac:dyDescent="0.35">
      <c r="A51" s="16">
        <v>45152</v>
      </c>
      <c r="B51" s="22">
        <f t="dataTable" ref="B51:AA81" dt2D="1" dtr="1" r1="B4" r2="B1"/>
        <v>15.093904066620144</v>
      </c>
      <c r="C51" s="22">
        <v>14.899532012491015</v>
      </c>
      <c r="D51" s="22">
        <v>14.706551369949528</v>
      </c>
      <c r="E51" s="22">
        <v>14.515049077574023</v>
      </c>
      <c r="F51" s="22">
        <v>14.325108334601195</v>
      </c>
      <c r="G51" s="22">
        <v>14.136808489427219</v>
      </c>
      <c r="H51" s="22">
        <v>13.950224945872701</v>
      </c>
      <c r="I51" s="22">
        <v>13.7654290870707</v>
      </c>
      <c r="J51" s="22">
        <v>13.582488216720654</v>
      </c>
      <c r="K51" s="22">
        <v>13.40146551734057</v>
      </c>
      <c r="L51" s="22">
        <v>13.222420025049713</v>
      </c>
      <c r="M51" s="22">
        <v>13.04540662032181</v>
      </c>
      <c r="N51" s="22">
        <v>12.870476034067391</v>
      </c>
      <c r="O51" s="22">
        <v>12.697674868331799</v>
      </c>
      <c r="P51" s="22">
        <v>12.527045630834131</v>
      </c>
      <c r="Q51" s="22">
        <v>12.358626782520888</v>
      </c>
      <c r="R51" s="22">
        <v>12.192452797267057</v>
      </c>
      <c r="S51" s="22">
        <v>12.028554232825927</v>
      </c>
      <c r="T51" s="22">
        <v>11.866957812107243</v>
      </c>
      <c r="U51" s="22">
        <v>11.707686513850573</v>
      </c>
      <c r="V51" s="22">
        <v>11.550759671756508</v>
      </c>
      <c r="W51" s="22">
        <v>11.396193081142215</v>
      </c>
      <c r="X51" s="22">
        <v>11.243999112198784</v>
      </c>
      <c r="Y51" s="22">
        <v>11.094186828945645</v>
      </c>
      <c r="Z51" s="22">
        <v>10.946762113001045</v>
      </c>
      <c r="AA51" s="22">
        <v>10.801727791316114</v>
      </c>
      <c r="AC51" s="21"/>
    </row>
    <row r="52" spans="1:29" x14ac:dyDescent="0.35">
      <c r="A52" s="16">
        <v>45518</v>
      </c>
      <c r="B52" s="22">
        <v>14.854719813558999</v>
      </c>
      <c r="C52" s="22">
        <v>14.671232957546055</v>
      </c>
      <c r="D52" s="22">
        <v>14.488906024521336</v>
      </c>
      <c r="E52" s="22">
        <v>14.307819270476186</v>
      </c>
      <c r="F52" s="22">
        <v>14.128049909551835</v>
      </c>
      <c r="G52" s="22">
        <v>13.949672004143554</v>
      </c>
      <c r="H52" s="22">
        <v>13.77275636915912</v>
      </c>
      <c r="I52" s="22">
        <v>13.597370490443902</v>
      </c>
      <c r="J52" s="22">
        <v>13.423578457291807</v>
      </c>
      <c r="K52" s="22">
        <v>13.251440908871011</v>
      </c>
      <c r="L52" s="22">
        <v>13.081014994310614</v>
      </c>
      <c r="M52" s="22">
        <v>12.912354346115873</v>
      </c>
      <c r="N52" s="22">
        <v>12.745509066509014</v>
      </c>
      <c r="O52" s="22">
        <v>12.580525726228112</v>
      </c>
      <c r="P52" s="22">
        <v>12.417447375259735</v>
      </c>
      <c r="Q52" s="22">
        <v>12.256313564931299</v>
      </c>
      <c r="R52" s="22">
        <v>12.097160380746708</v>
      </c>
      <c r="S52" s="22">
        <v>11.940020485314223</v>
      </c>
      <c r="T52" s="22">
        <v>11.784923170687517</v>
      </c>
      <c r="U52" s="22">
        <v>11.63189441942064</v>
      </c>
      <c r="V52" s="22">
        <v>11.480956973623373</v>
      </c>
      <c r="W52" s="22">
        <v>11.332130411296392</v>
      </c>
      <c r="X52" s="22">
        <v>11.185431229223937</v>
      </c>
      <c r="Y52" s="22">
        <v>11.04087293170614</v>
      </c>
      <c r="Z52" s="22">
        <v>10.898466124422576</v>
      </c>
      <c r="AA52" s="22">
        <v>10.75821861273238</v>
      </c>
      <c r="AC52" s="21"/>
    </row>
    <row r="53" spans="1:29" x14ac:dyDescent="0.35">
      <c r="A53" s="16">
        <v>45883</v>
      </c>
      <c r="B53" s="22">
        <v>14.605613926315591</v>
      </c>
      <c r="C53" s="22">
        <v>14.432939906380735</v>
      </c>
      <c r="D53" s="22">
        <v>14.261215577147878</v>
      </c>
      <c r="E53" s="22">
        <v>14.090514370156942</v>
      </c>
      <c r="F53" s="22">
        <v>13.920907284546054</v>
      </c>
      <c r="G53" s="22">
        <v>13.75246278237042</v>
      </c>
      <c r="H53" s="22">
        <v>13.585246694970577</v>
      </c>
      <c r="I53" s="22">
        <v>13.419322140498286</v>
      </c>
      <c r="J53" s="22">
        <v>13.254749452635986</v>
      </c>
      <c r="K53" s="22">
        <v>13.091586120474473</v>
      </c>
      <c r="L53" s="22">
        <v>12.929886739446738</v>
      </c>
      <c r="M53" s="22">
        <v>12.769702973151771</v>
      </c>
      <c r="N53" s="22">
        <v>12.611083525843126</v>
      </c>
      <c r="O53" s="22">
        <v>12.454074125301663</v>
      </c>
      <c r="P53" s="22">
        <v>12.2987175157623</v>
      </c>
      <c r="Q53" s="22">
        <v>12.145053460519087</v>
      </c>
      <c r="R53" s="22">
        <v>11.993118753793315</v>
      </c>
      <c r="S53" s="22">
        <v>11.842947241414663</v>
      </c>
      <c r="T53" s="22">
        <v>11.694569849836093</v>
      </c>
      <c r="U53" s="22">
        <v>11.548014622979164</v>
      </c>
      <c r="V53" s="22">
        <v>11.403306766387285</v>
      </c>
      <c r="W53" s="22">
        <v>11.26046869815073</v>
      </c>
      <c r="X53" s="22">
        <v>11.119520106057687</v>
      </c>
      <c r="Y53" s="22">
        <v>10.980478010421129</v>
      </c>
      <c r="Z53" s="22">
        <v>10.843356832030885</v>
      </c>
      <c r="AA53" s="22">
        <v>10.708168464683533</v>
      </c>
      <c r="AC53" s="21"/>
    </row>
    <row r="54" spans="1:29" x14ac:dyDescent="0.35">
      <c r="A54" s="16">
        <v>46248</v>
      </c>
      <c r="B54" s="22">
        <v>14.346115482150207</v>
      </c>
      <c r="C54" s="22">
        <v>14.18416167969783</v>
      </c>
      <c r="D54" s="22">
        <v>14.022968306961692</v>
      </c>
      <c r="E54" s="22">
        <v>13.862601929732387</v>
      </c>
      <c r="F54" s="22">
        <v>13.703127206829262</v>
      </c>
      <c r="G54" s="22">
        <v>13.544606793260563</v>
      </c>
      <c r="H54" s="22">
        <v>13.387101251815295</v>
      </c>
      <c r="I54" s="22">
        <v>13.230668973247269</v>
      </c>
      <c r="J54" s="22">
        <v>13.075366105157391</v>
      </c>
      <c r="K54" s="22">
        <v>12.921246489625432</v>
      </c>
      <c r="L54" s="22">
        <v>12.768361609590793</v>
      </c>
      <c r="M54" s="22">
        <v>12.616760543931044</v>
      </c>
      <c r="N54" s="22">
        <v>12.466489931139398</v>
      </c>
      <c r="O54" s="22">
        <v>12.317593941456996</v>
      </c>
      <c r="P54" s="22">
        <v>12.170114257274108</v>
      </c>
      <c r="Q54" s="22">
        <v>12.024090061575237</v>
      </c>
      <c r="R54" s="22">
        <v>11.879558034168104</v>
      </c>
      <c r="S54" s="22">
        <v>11.736552355404516</v>
      </c>
      <c r="T54" s="22">
        <v>11.595104717073186</v>
      </c>
      <c r="U54" s="22">
        <v>11.455244340120238</v>
      </c>
      <c r="V54" s="22">
        <v>11.316997998832345</v>
      </c>
      <c r="W54" s="22">
        <v>11.180390051100678</v>
      </c>
      <c r="X54" s="22">
        <v>11.045442474370253</v>
      </c>
      <c r="Y54" s="22">
        <v>10.912174906869486</v>
      </c>
      <c r="Z54" s="22">
        <v>10.780604693708298</v>
      </c>
      <c r="AA54" s="22">
        <v>10.650746937429373</v>
      </c>
      <c r="AC54" s="21"/>
    </row>
    <row r="55" spans="1:29" x14ac:dyDescent="0.35">
      <c r="A55" s="16">
        <v>46613</v>
      </c>
      <c r="B55" s="22">
        <v>14.075722901451019</v>
      </c>
      <c r="C55" s="22">
        <v>13.924375306103498</v>
      </c>
      <c r="D55" s="22">
        <v>13.773619455017817</v>
      </c>
      <c r="E55" s="22">
        <v>13.623515102171233</v>
      </c>
      <c r="F55" s="22">
        <v>13.474120540852473</v>
      </c>
      <c r="G55" s="22">
        <v>13.325492516408673</v>
      </c>
      <c r="H55" s="22">
        <v>13.177686145264284</v>
      </c>
      <c r="I55" s="22">
        <v>13.030754840392472</v>
      </c>
      <c r="J55" s="22">
        <v>12.884750243380051</v>
      </c>
      <c r="K55" s="22">
        <v>12.73972216318611</v>
      </c>
      <c r="L55" s="22">
        <v>12.595718521655812</v>
      </c>
      <c r="M55" s="22">
        <v>12.452785305811947</v>
      </c>
      <c r="N55" s="22">
        <v>12.310966526910034</v>
      </c>
      <c r="O55" s="22">
        <v>12.170304186206893</v>
      </c>
      <c r="P55" s="22">
        <v>12.030838247359052</v>
      </c>
      <c r="Q55" s="22">
        <v>11.892606615335334</v>
      </c>
      <c r="R55" s="22">
        <v>11.755645121698368</v>
      </c>
      <c r="S55" s="22">
        <v>11.619987516082354</v>
      </c>
      <c r="T55" s="22">
        <v>11.485665463669418</v>
      </c>
      <c r="U55" s="22">
        <v>11.352708548444616</v>
      </c>
      <c r="V55" s="22">
        <v>11.221144281989361</v>
      </c>
      <c r="W55" s="22">
        <v>11.090998117556136</v>
      </c>
      <c r="X55" s="22">
        <v>10.962293469152213</v>
      </c>
      <c r="Y55" s="22">
        <v>10.835051735348026</v>
      </c>
      <c r="Z55" s="22">
        <v>10.709292327516286</v>
      </c>
      <c r="AA55" s="22">
        <v>10.585032702200062</v>
      </c>
      <c r="AC55" s="21"/>
    </row>
    <row r="56" spans="1:29" x14ac:dyDescent="0.35">
      <c r="A56" s="16">
        <v>46979</v>
      </c>
      <c r="B56" s="22">
        <v>13.793901020981613</v>
      </c>
      <c r="C56" s="22">
        <v>13.65302307571929</v>
      </c>
      <c r="D56" s="22">
        <v>13.512588254435542</v>
      </c>
      <c r="E56" s="22">
        <v>13.372649642017894</v>
      </c>
      <c r="F56" s="22">
        <v>13.233259235397799</v>
      </c>
      <c r="G56" s="22">
        <v>13.094467866861898</v>
      </c>
      <c r="H56" s="22">
        <v>12.956325131894335</v>
      </c>
      <c r="I56" s="22">
        <v>12.818879321728659</v>
      </c>
      <c r="J56" s="22">
        <v>12.682177360760216</v>
      </c>
      <c r="K56" s="22">
        <v>12.546264748940418</v>
      </c>
      <c r="L56" s="22">
        <v>12.411185509246485</v>
      </c>
      <c r="M56" s="22">
        <v>12.276982140291402</v>
      </c>
      <c r="N56" s="22">
        <v>12.14369557411151</v>
      </c>
      <c r="O56" s="22">
        <v>12.011365139141846</v>
      </c>
      <c r="P56" s="22">
        <v>11.880028528363558</v>
      </c>
      <c r="Q56" s="22">
        <v>11.749721772582372</v>
      </c>
      <c r="R56" s="22">
        <v>11.62047921877372</v>
      </c>
      <c r="S56" s="22">
        <v>11.492333513407265</v>
      </c>
      <c r="T56" s="22">
        <v>11.365315590643117</v>
      </c>
      <c r="U56" s="22">
        <v>11.239454665272348</v>
      </c>
      <c r="V56" s="22">
        <v>11.114778230256862</v>
      </c>
      <c r="W56" s="22">
        <v>10.991312058707708</v>
      </c>
      <c r="X56" s="22">
        <v>10.869080210126546</v>
      </c>
      <c r="Y56" s="22">
        <v>10.748105040722605</v>
      </c>
      <c r="Z56" s="22">
        <v>10.628407217606698</v>
      </c>
      <c r="AA56" s="22">
        <v>10.510005736654715</v>
      </c>
      <c r="AC56" s="21"/>
    </row>
    <row r="57" spans="1:29" x14ac:dyDescent="0.35">
      <c r="A57" s="16">
        <v>47344</v>
      </c>
      <c r="B57" s="22">
        <v>13.500077800917886</v>
      </c>
      <c r="C57" s="22">
        <v>13.369509234029431</v>
      </c>
      <c r="D57" s="22">
        <v>13.239254608017045</v>
      </c>
      <c r="E57" s="22">
        <v>13.109360562652306</v>
      </c>
      <c r="F57" s="22">
        <v>12.9798729551267</v>
      </c>
      <c r="G57" s="22">
        <v>12.850836794254839</v>
      </c>
      <c r="H57" s="22">
        <v>12.722296177841121</v>
      </c>
      <c r="I57" s="22">
        <v>12.594294233372487</v>
      </c>
      <c r="J57" s="22">
        <v>12.466873062181204</v>
      </c>
      <c r="K57" s="22">
        <v>12.340073687201356</v>
      </c>
      <c r="L57" s="22">
        <v>12.213936004423203</v>
      </c>
      <c r="M57" s="22">
        <v>12.088498738129351</v>
      </c>
      <c r="N57" s="22">
        <v>11.96379939997685</v>
      </c>
      <c r="O57" s="22">
        <v>11.83987425196961</v>
      </c>
      <c r="P57" s="22">
        <v>11.716758273346372</v>
      </c>
      <c r="Q57" s="22">
        <v>11.594485131390526</v>
      </c>
      <c r="R57" s="22">
        <v>11.473087156149958</v>
      </c>
      <c r="S57" s="22">
        <v>11.352595319037736</v>
      </c>
      <c r="T57" s="22">
        <v>11.233039215267643</v>
      </c>
      <c r="U57" s="22">
        <v>11.114447050063212</v>
      </c>
      <c r="V57" s="22">
        <v>10.99684562856374</v>
      </c>
      <c r="W57" s="22">
        <v>10.8802603493376</v>
      </c>
      <c r="X57" s="22">
        <v>10.764715201400177</v>
      </c>
      <c r="Y57" s="22">
        <v>10.650232764622604</v>
      </c>
      <c r="Z57" s="22">
        <v>10.536834213407159</v>
      </c>
      <c r="AA57" s="22">
        <v>10.424539323495843</v>
      </c>
      <c r="AC57" s="21"/>
    </row>
    <row r="58" spans="1:29" x14ac:dyDescent="0.35">
      <c r="A58" s="16">
        <v>47709</v>
      </c>
      <c r="B58" s="22">
        <v>13.193640611085387</v>
      </c>
      <c r="C58" s="22">
        <v>13.073196263353227</v>
      </c>
      <c r="D58" s="22">
        <v>12.9529553629052</v>
      </c>
      <c r="E58" s="22">
        <v>12.832958401038352</v>
      </c>
      <c r="F58" s="22">
        <v>12.713245331134337</v>
      </c>
      <c r="G58" s="22">
        <v>12.593855513552802</v>
      </c>
      <c r="H58" s="22">
        <v>12.474827662644413</v>
      </c>
      <c r="I58" s="22">
        <v>12.356199796022759</v>
      </c>
      <c r="J58" s="22">
        <v>12.238009186222273</v>
      </c>
      <c r="K58" s="22">
        <v>12.120292314855961</v>
      </c>
      <c r="L58" s="22">
        <v>12.003084829373689</v>
      </c>
      <c r="M58" s="22">
        <v>11.886421502508052</v>
      </c>
      <c r="N58" s="22">
        <v>11.770336194481262</v>
      </c>
      <c r="O58" s="22">
        <v>11.654861818032687</v>
      </c>
      <c r="P58" s="22">
        <v>11.540030306313238</v>
      </c>
      <c r="Q58" s="22">
        <v>11.425872583679004</v>
      </c>
      <c r="R58" s="22">
        <v>11.312418539403593</v>
      </c>
      <c r="S58" s="22">
        <v>11.19969700431548</v>
      </c>
      <c r="T58" s="22">
        <v>11.087735730354261</v>
      </c>
      <c r="U58" s="22">
        <v>10.976561373027664</v>
      </c>
      <c r="V58" s="22">
        <v>10.866199476739537</v>
      </c>
      <c r="W58" s="22">
        <v>10.756674462948279</v>
      </c>
      <c r="X58" s="22">
        <v>10.648009621104666</v>
      </c>
      <c r="Y58" s="22">
        <v>10.540227102308583</v>
      </c>
      <c r="Z58" s="22">
        <v>10.433347915615183</v>
      </c>
      <c r="AA58" s="22">
        <v>10.327391926912789</v>
      </c>
      <c r="AC58" s="21"/>
    </row>
    <row r="59" spans="1:29" x14ac:dyDescent="0.35">
      <c r="A59" s="16">
        <v>48074</v>
      </c>
      <c r="B59" s="22">
        <v>12.873932032390396</v>
      </c>
      <c r="C59" s="22">
        <v>12.763400690434134</v>
      </c>
      <c r="D59" s="22">
        <v>12.652980123495219</v>
      </c>
      <c r="E59" s="22">
        <v>12.54270503414938</v>
      </c>
      <c r="F59" s="22">
        <v>12.432609777952486</v>
      </c>
      <c r="G59" s="22">
        <v>12.322728318411714</v>
      </c>
      <c r="H59" s="22">
        <v>12.213094183305726</v>
      </c>
      <c r="I59" s="22">
        <v>12.10374042246676</v>
      </c>
      <c r="J59" s="22">
        <v>11.994699567130461</v>
      </c>
      <c r="K59" s="22">
        <v>11.886003590950658</v>
      </c>
      <c r="L59" s="22">
        <v>11.77768387276819</v>
      </c>
      <c r="M59" s="22">
        <v>11.669771161213852</v>
      </c>
      <c r="N59" s="22">
        <v>11.562295541216811</v>
      </c>
      <c r="O59" s="22">
        <v>11.455286402480519</v>
      </c>
      <c r="P59" s="22">
        <v>11.348772409979178</v>
      </c>
      <c r="Q59" s="22">
        <v>11.242781476518406</v>
      </c>
      <c r="R59" s="22">
        <v>11.137340737394641</v>
      </c>
      <c r="S59" s="22">
        <v>11.032476527178753</v>
      </c>
      <c r="T59" s="22">
        <v>10.928214358640233</v>
      </c>
      <c r="U59" s="22">
        <v>10.824578903819789</v>
      </c>
      <c r="V59" s="22">
        <v>10.721593977249391</v>
      </c>
      <c r="W59" s="22">
        <v>10.619282521310829</v>
      </c>
      <c r="X59" s="22">
        <v>10.517666593715672</v>
      </c>
      <c r="Y59" s="22">
        <v>10.416767357082207</v>
      </c>
      <c r="Z59" s="22">
        <v>10.316605070577653</v>
      </c>
      <c r="AA59" s="22">
        <v>10.217199083587124</v>
      </c>
      <c r="AC59" s="21"/>
    </row>
    <row r="60" spans="1:29" x14ac:dyDescent="0.35">
      <c r="A60" s="16">
        <v>48440</v>
      </c>
      <c r="B60" s="22">
        <v>12.540245098156051</v>
      </c>
      <c r="C60" s="22">
        <v>12.439388348014866</v>
      </c>
      <c r="D60" s="22">
        <v>12.338566533886681</v>
      </c>
      <c r="E60" s="22">
        <v>12.237808982064053</v>
      </c>
      <c r="F60" s="22">
        <v>12.137144816023232</v>
      </c>
      <c r="G60" s="22">
        <v>12.036602920564603</v>
      </c>
      <c r="H60" s="22">
        <v>11.936211906754664</v>
      </c>
      <c r="I60" s="22">
        <v>11.836000077757024</v>
      </c>
      <c r="J60" s="22">
        <v>11.73599539563574</v>
      </c>
      <c r="K60" s="22">
        <v>11.636225449209357</v>
      </c>
      <c r="L60" s="22">
        <v>11.536717423029033</v>
      </c>
      <c r="M60" s="22">
        <v>11.437498067548706</v>
      </c>
      <c r="N60" s="22">
        <v>11.338593670549857</v>
      </c>
      <c r="O60" s="22">
        <v>11.240030029877456</v>
      </c>
      <c r="P60" s="22">
        <v>11.141832427538109</v>
      </c>
      <c r="Q60" s="22">
        <v>11.044025605205197</v>
      </c>
      <c r="R60" s="22">
        <v>10.946633741169901</v>
      </c>
      <c r="S60" s="22">
        <v>10.849680428770878</v>
      </c>
      <c r="T60" s="22">
        <v>10.753188656329272</v>
      </c>
      <c r="U60" s="22">
        <v>10.657180788609836</v>
      </c>
      <c r="V60" s="22">
        <v>10.561678549822796</v>
      </c>
      <c r="W60" s="22">
        <v>10.46670300817544</v>
      </c>
      <c r="X60" s="22">
        <v>10.372274561976544</v>
      </c>
      <c r="Y60" s="22">
        <v>10.278412927291324</v>
      </c>
      <c r="Z60" s="22">
        <v>10.185137127139155</v>
      </c>
      <c r="AA60" s="22">
        <v>10.09246548222119</v>
      </c>
      <c r="AC60" s="21"/>
    </row>
    <row r="61" spans="1:29" x14ac:dyDescent="0.35">
      <c r="A61" s="16">
        <v>48805</v>
      </c>
      <c r="B61" s="22">
        <v>12.191817886509462</v>
      </c>
      <c r="C61" s="22">
        <v>12.100369005541859</v>
      </c>
      <c r="D61" s="22">
        <v>12.008894949315341</v>
      </c>
      <c r="E61" s="22">
        <v>11.917420121799024</v>
      </c>
      <c r="F61" s="22">
        <v>11.825968828705532</v>
      </c>
      <c r="G61" s="22">
        <v>11.734565249702086</v>
      </c>
      <c r="H61" s="22">
        <v>11.643233411052258</v>
      </c>
      <c r="I61" s="22">
        <v>11.55199715875295</v>
      </c>
      <c r="J61" s="22">
        <v>11.460880132229248</v>
      </c>
      <c r="K61" s="22">
        <v>11.369905738646731</v>
      </c>
      <c r="L61" s="22">
        <v>11.279097127898376</v>
      </c>
      <c r="M61" s="22">
        <v>11.188477168319865</v>
      </c>
      <c r="N61" s="22">
        <v>11.098068423184083</v>
      </c>
      <c r="O61" s="22">
        <v>11.007893128022076</v>
      </c>
      <c r="P61" s="22">
        <v>10.917973168814372</v>
      </c>
      <c r="Q61" s="22">
        <v>10.828330061092764</v>
      </c>
      <c r="R61" s="22">
        <v>10.738984929989057</v>
      </c>
      <c r="S61" s="22">
        <v>10.649958491263384</v>
      </c>
      <c r="T61" s="22">
        <v>10.561271033340867</v>
      </c>
      <c r="U61" s="22">
        <v>10.472942400381523</v>
      </c>
      <c r="V61" s="22">
        <v>10.384991976404363</v>
      </c>
      <c r="W61" s="22">
        <v>10.297438670482805</v>
      </c>
      <c r="X61" s="22">
        <v>10.210300903024553</v>
      </c>
      <c r="Y61" s="22">
        <v>10.123596593145411</v>
      </c>
      <c r="Z61" s="22">
        <v>10.037343147142662</v>
      </c>
      <c r="AA61" s="22">
        <v>9.9515574480699627</v>
      </c>
      <c r="AC61" s="21"/>
    </row>
    <row r="62" spans="1:29" x14ac:dyDescent="0.35">
      <c r="A62" s="16">
        <v>49170</v>
      </c>
      <c r="B62" s="22">
        <v>11.827827358591138</v>
      </c>
      <c r="C62" s="22">
        <v>11.745490268839916</v>
      </c>
      <c r="D62" s="22">
        <v>11.663082401815716</v>
      </c>
      <c r="E62" s="22">
        <v>11.580623722917011</v>
      </c>
      <c r="F62" s="22">
        <v>11.498134171058636</v>
      </c>
      <c r="G62" s="22">
        <v>11.415633637760216</v>
      </c>
      <c r="H62" s="22">
        <v>11.333141946428611</v>
      </c>
      <c r="I62" s="22">
        <v>11.250678831879942</v>
      </c>
      <c r="J62" s="22">
        <v>11.168263920145879</v>
      </c>
      <c r="K62" s="22">
        <v>11.085916708607353</v>
      </c>
      <c r="L62" s="22">
        <v>11.003656546497606</v>
      </c>
      <c r="M62" s="22">
        <v>10.921502615814818</v>
      </c>
      <c r="N62" s="22">
        <v>10.839473912682838</v>
      </c>
      <c r="O62" s="22">
        <v>10.757589229196739</v>
      </c>
      <c r="P62" s="22">
        <v>10.675867135787943</v>
      </c>
      <c r="Q62" s="22">
        <v>10.594325964141639</v>
      </c>
      <c r="R62" s="22">
        <v>10.512983790696987</v>
      </c>
      <c r="S62" s="22">
        <v>10.43185842075847</v>
      </c>
      <c r="T62" s="22">
        <v>10.350967373244382</v>
      </c>
      <c r="U62" s="22">
        <v>10.270327866096153</v>
      </c>
      <c r="V62" s="22">
        <v>10.189956802369808</v>
      </c>
      <c r="W62" s="22">
        <v>10.109870757028359</v>
      </c>
      <c r="X62" s="22">
        <v>10.030085964451619</v>
      </c>
      <c r="Y62" s="22">
        <v>9.9506183066773932</v>
      </c>
      <c r="Z62" s="22">
        <v>9.8714833023855917</v>
      </c>
      <c r="AA62" s="22">
        <v>9.7926960966343408</v>
      </c>
    </row>
    <row r="63" spans="1:29" x14ac:dyDescent="0.35">
      <c r="A63" s="16">
        <v>49535</v>
      </c>
      <c r="B63" s="22">
        <v>11.447382317512497</v>
      </c>
      <c r="C63" s="22">
        <v>11.373830630124528</v>
      </c>
      <c r="D63" s="22">
        <v>11.300175748310831</v>
      </c>
      <c r="E63" s="22">
        <v>11.226433700361017</v>
      </c>
      <c r="F63" s="22">
        <v>11.152620533577187</v>
      </c>
      <c r="G63" s="22">
        <v>11.078752299033582</v>
      </c>
      <c r="H63" s="22">
        <v>11.004845036391286</v>
      </c>
      <c r="I63" s="22">
        <v>10.930914758798451</v>
      </c>
      <c r="J63" s="22">
        <v>10.856977437906414</v>
      </c>
      <c r="K63" s="22">
        <v>10.783048989031327</v>
      </c>
      <c r="L63" s="22">
        <v>10.709145256490411</v>
      </c>
      <c r="M63" s="22">
        <v>10.635281999141206</v>
      </c>
      <c r="N63" s="22">
        <v>10.561474876151296</v>
      </c>
      <c r="O63" s="22">
        <v>10.487739433025176</v>
      </c>
      <c r="P63" s="22">
        <v>10.414091087913947</v>
      </c>
      <c r="Q63" s="22">
        <v>10.340545118232356</v>
      </c>
      <c r="R63" s="22">
        <v>10.26711664760672</v>
      </c>
      <c r="S63" s="22">
        <v>10.19382063317593</v>
      </c>
      <c r="T63" s="22">
        <v>10.120671853266609</v>
      </c>
      <c r="U63" s="22">
        <v>10.047684895462066</v>
      </c>
      <c r="V63" s="22">
        <v>9.9748741450834935</v>
      </c>
      <c r="W63" s="22">
        <v>9.9022537741002559</v>
      </c>
      <c r="X63" s="22">
        <v>9.8298377304849005</v>
      </c>
      <c r="Y63" s="22">
        <v>9.7576397280269571</v>
      </c>
      <c r="Z63" s="22">
        <v>9.6856732366181646</v>
      </c>
      <c r="AA63" s="22">
        <v>9.6139514730201974</v>
      </c>
    </row>
    <row r="64" spans="1:29" x14ac:dyDescent="0.35">
      <c r="A64" s="16">
        <v>49901</v>
      </c>
      <c r="B64" s="22">
        <v>11.049515338832816</v>
      </c>
      <c r="C64" s="22">
        <v>10.984391527328773</v>
      </c>
      <c r="D64" s="22">
        <v>10.919143868745975</v>
      </c>
      <c r="E64" s="22">
        <v>10.853784961246539</v>
      </c>
      <c r="F64" s="22">
        <v>10.78832744724588</v>
      </c>
      <c r="G64" s="22">
        <v>10.722784002691558</v>
      </c>
      <c r="H64" s="22">
        <v>10.657167326325162</v>
      </c>
      <c r="I64" s="22">
        <v>10.591490128946642</v>
      </c>
      <c r="J64" s="22">
        <v>10.525765122700664</v>
      </c>
      <c r="K64" s="22">
        <v>10.460005010404117</v>
      </c>
      <c r="L64" s="22">
        <v>10.394222474934004</v>
      </c>
      <c r="M64" s="22">
        <v>10.328430168694448</v>
      </c>
      <c r="N64" s="22">
        <v>10.262640703181308</v>
      </c>
      <c r="O64" s="22">
        <v>10.196866638662556</v>
      </c>
      <c r="P64" s="22">
        <v>10.131120473992077</v>
      </c>
      <c r="Q64" s="22">
        <v>10.065414636574136</v>
      </c>
      <c r="R64" s="22">
        <v>9.999761472495134</v>
      </c>
      <c r="S64" s="22">
        <v>9.9341732368388111</v>
      </c>
      <c r="T64" s="22">
        <v>9.8686620842003911</v>
      </c>
      <c r="U64" s="22">
        <v>9.803240059414426</v>
      </c>
      <c r="V64" s="22">
        <v>9.7379190885106262</v>
      </c>
      <c r="W64" s="22">
        <v>9.6727109699109537</v>
      </c>
      <c r="X64" s="22">
        <v>9.6076273658807168</v>
      </c>
      <c r="Y64" s="22">
        <v>9.542679794245549</v>
      </c>
      <c r="Z64" s="22">
        <v>9.4778796203853268</v>
      </c>
      <c r="AA64" s="22">
        <v>9.4132380495152503</v>
      </c>
    </row>
    <row r="65" spans="1:27" x14ac:dyDescent="0.35">
      <c r="A65" s="16">
        <v>50266</v>
      </c>
      <c r="B65" s="22">
        <v>10.633173493798557</v>
      </c>
      <c r="C65" s="22">
        <v>10.57608824446746</v>
      </c>
      <c r="D65" s="22">
        <v>10.51886875695023</v>
      </c>
      <c r="E65" s="22">
        <v>10.461524699778655</v>
      </c>
      <c r="F65" s="22">
        <v>10.404065796132857</v>
      </c>
      <c r="G65" s="22">
        <v>10.3465018165915</v>
      </c>
      <c r="H65" s="22">
        <v>10.288842571835989</v>
      </c>
      <c r="I65" s="22">
        <v>10.231097905320212</v>
      </c>
      <c r="J65" s="22">
        <v>10.17327768591778</v>
      </c>
      <c r="K65" s="22">
        <v>10.115391800558427</v>
      </c>
      <c r="L65" s="22">
        <v>10.05745014686544</v>
      </c>
      <c r="M65" s="22">
        <v>9.9994626258058066</v>
      </c>
      <c r="N65" s="22">
        <v>9.9414391343647406</v>
      </c>
      <c r="O65" s="22">
        <v>9.8833895582560896</v>
      </c>
      <c r="P65" s="22">
        <v>9.8253237646800553</v>
      </c>
      <c r="Q65" s="22">
        <v>9.7672515951394097</v>
      </c>
      <c r="R65" s="22">
        <v>9.7091828583252084</v>
      </c>
      <c r="S65" s="22">
        <v>9.6511273230827967</v>
      </c>
      <c r="T65" s="22">
        <v>9.5930947114686198</v>
      </c>
      <c r="U65" s="22">
        <v>9.5350946919080215</v>
      </c>
      <c r="V65" s="22">
        <v>9.4771368724640475</v>
      </c>
      <c r="W65" s="22">
        <v>9.4192307942267295</v>
      </c>
      <c r="X65" s="22">
        <v>9.3613859248321418</v>
      </c>
      <c r="Y65" s="22">
        <v>9.3036116521200896</v>
      </c>
      <c r="Z65" s="22">
        <v>9.2459172779388297</v>
      </c>
      <c r="AA65" s="22">
        <v>9.1883120121049142</v>
      </c>
    </row>
    <row r="66" spans="1:27" x14ac:dyDescent="0.35">
      <c r="A66" s="16">
        <v>50631</v>
      </c>
      <c r="B66" s="22">
        <v>10.197207650322108</v>
      </c>
      <c r="C66" s="22">
        <v>10.147739451440279</v>
      </c>
      <c r="D66" s="22">
        <v>10.098135316574602</v>
      </c>
      <c r="E66" s="22">
        <v>10.048402467151792</v>
      </c>
      <c r="F66" s="22">
        <v>9.9985481794953266</v>
      </c>
      <c r="G66" s="22">
        <v>9.9485797801373028</v>
      </c>
      <c r="H66" s="22">
        <v>9.8985046410798567</v>
      </c>
      <c r="I66" s="22">
        <v>9.8483301750127303</v>
      </c>
      <c r="J66" s="22">
        <v>9.7980638304937244</v>
      </c>
      <c r="K66" s="22">
        <v>9.7477130870987434</v>
      </c>
      <c r="L66" s="22">
        <v>9.6972854505483017</v>
      </c>
      <c r="M66" s="22">
        <v>9.6467884478172401</v>
      </c>
      <c r="N66" s="22">
        <v>9.5962296222345529</v>
      </c>
      <c r="O66" s="22">
        <v>9.5456165285801422</v>
      </c>
      <c r="P66" s="22">
        <v>9.49495672818529</v>
      </c>
      <c r="Q66" s="22">
        <v>9.4442577840436854</v>
      </c>
      <c r="R66" s="22">
        <v>9.3935272559396878</v>
      </c>
      <c r="S66" s="22">
        <v>9.3427726956004822</v>
      </c>
      <c r="T66" s="22">
        <v>9.2920016418787466</v>
      </c>
      <c r="U66" s="22">
        <v>9.2412216159722522</v>
      </c>
      <c r="V66" s="22">
        <v>9.1904401166868137</v>
      </c>
      <c r="W66" s="22">
        <v>9.1396646157487655</v>
      </c>
      <c r="X66" s="22">
        <v>9.0889025531731207</v>
      </c>
      <c r="Y66" s="22">
        <v>9.0381613326933063</v>
      </c>
      <c r="Z66" s="22">
        <v>8.9874483172582806</v>
      </c>
      <c r="AA66" s="22">
        <v>8.9367708246025828</v>
      </c>
    </row>
    <row r="67" spans="1:27" x14ac:dyDescent="0.35">
      <c r="A67" s="16">
        <v>50996</v>
      </c>
      <c r="B67" s="22">
        <v>9.7403600919215041</v>
      </c>
      <c r="C67" s="22">
        <v>9.698055140748977</v>
      </c>
      <c r="D67" s="22">
        <v>9.6556196373860441</v>
      </c>
      <c r="E67" s="22">
        <v>9.6130588101008829</v>
      </c>
      <c r="F67" s="22">
        <v>9.5703779360816252</v>
      </c>
      <c r="G67" s="22">
        <v>9.527582338555673</v>
      </c>
      <c r="H67" s="22">
        <v>9.4846773838662912</v>
      </c>
      <c r="I67" s="22">
        <v>9.4416684785099267</v>
      </c>
      <c r="J67" s="22">
        <v>9.3985610661378232</v>
      </c>
      <c r="K67" s="22">
        <v>9.3553606245254493</v>
      </c>
      <c r="L67" s="22">
        <v>9.3120726625134633</v>
      </c>
      <c r="M67" s="22">
        <v>9.2687027169238334</v>
      </c>
      <c r="N67" s="22">
        <v>9.2252563494548916</v>
      </c>
      <c r="O67" s="22">
        <v>9.1817391435589872</v>
      </c>
      <c r="P67" s="22">
        <v>9.1381567013066221</v>
      </c>
      <c r="Q67" s="22">
        <v>9.094514640240746</v>
      </c>
      <c r="R67" s="22">
        <v>9.0508185902250542</v>
      </c>
      <c r="S67" s="22">
        <v>9.007074190290064</v>
      </c>
      <c r="T67" s="22">
        <v>8.9632870854807329</v>
      </c>
      <c r="U67" s="22">
        <v>8.9194629237093768</v>
      </c>
      <c r="V67" s="22">
        <v>8.875607352617628</v>
      </c>
      <c r="W67" s="22">
        <v>8.8317260164511122</v>
      </c>
      <c r="X67" s="22">
        <v>8.7878245529505037</v>
      </c>
      <c r="Y67" s="22">
        <v>8.7439085902625759</v>
      </c>
      <c r="Z67" s="22">
        <v>8.6999837438748067</v>
      </c>
      <c r="AA67" s="22">
        <v>8.6560556135769584</v>
      </c>
    </row>
    <row r="68" spans="1:27" x14ac:dyDescent="0.35">
      <c r="A68" s="16">
        <v>51362</v>
      </c>
      <c r="B68" s="22">
        <v>9.2612501393286433</v>
      </c>
      <c r="C68" s="22">
        <v>9.2256226680912707</v>
      </c>
      <c r="D68" s="22">
        <v>9.1898754816883859</v>
      </c>
      <c r="E68" s="22">
        <v>9.1540122312632075</v>
      </c>
      <c r="F68" s="22">
        <v>9.118036607787845</v>
      </c>
      <c r="G68" s="22">
        <v>9.081952340394766</v>
      </c>
      <c r="H68" s="22">
        <v>9.0457631946771766</v>
      </c>
      <c r="I68" s="22">
        <v>9.0094729709600045</v>
      </c>
      <c r="J68" s="22">
        <v>8.9730855025431975</v>
      </c>
      <c r="K68" s="22">
        <v>8.9366046539190815</v>
      </c>
      <c r="L68" s="22">
        <v>8.9000343189655702</v>
      </c>
      <c r="M68" s="22">
        <v>8.8633784191170566</v>
      </c>
      <c r="N68" s="22">
        <v>8.8266409015148302</v>
      </c>
      <c r="O68" s="22">
        <v>8.789825737138889</v>
      </c>
      <c r="P68" s="22">
        <v>8.7529369189231065</v>
      </c>
      <c r="Q68" s="22">
        <v>8.7159784598556023</v>
      </c>
      <c r="R68" s="22">
        <v>8.6789543910663429</v>
      </c>
      <c r="S68" s="22">
        <v>8.6418687599038577</v>
      </c>
      <c r="T68" s="22">
        <v>8.6047256280031394</v>
      </c>
      <c r="U68" s="22">
        <v>8.5675290693465627</v>
      </c>
      <c r="V68" s="22">
        <v>8.5302831683199773</v>
      </c>
      <c r="W68" s="22">
        <v>8.4929920177658165</v>
      </c>
      <c r="X68" s="22">
        <v>8.4556597170352781</v>
      </c>
      <c r="Y68" s="22">
        <v>8.4182903700415412</v>
      </c>
      <c r="Z68" s="22">
        <v>8.3808880833159627</v>
      </c>
      <c r="AA68" s="22">
        <v>8.3434569640692224</v>
      </c>
    </row>
    <row r="69" spans="1:27" x14ac:dyDescent="0.35">
      <c r="A69" s="16">
        <v>51727</v>
      </c>
      <c r="B69" s="22">
        <v>8.7583573902488769</v>
      </c>
      <c r="C69" s="22">
        <v>8.7288905411339126</v>
      </c>
      <c r="D69" s="22">
        <v>8.6993186545041574</v>
      </c>
      <c r="E69" s="22">
        <v>8.6696441748400179</v>
      </c>
      <c r="F69" s="22">
        <v>8.6398695765529165</v>
      </c>
      <c r="G69" s="22">
        <v>8.6099973630832558</v>
      </c>
      <c r="H69" s="22">
        <v>8.5800300659784359</v>
      </c>
      <c r="I69" s="22">
        <v>8.5499702439515897</v>
      </c>
      <c r="J69" s="22">
        <v>8.5198204819218226</v>
      </c>
      <c r="K69" s="22">
        <v>8.4895833900367137</v>
      </c>
      <c r="L69" s="22">
        <v>8.4592616026778895</v>
      </c>
      <c r="M69" s="22">
        <v>8.4288577774504692</v>
      </c>
      <c r="N69" s="22">
        <v>8.3983745941572199</v>
      </c>
      <c r="O69" s="22">
        <v>8.3678147537582817</v>
      </c>
      <c r="P69" s="22">
        <v>8.3371809773173418</v>
      </c>
      <c r="Q69" s="22">
        <v>8.3064760049351154</v>
      </c>
      <c r="R69" s="22">
        <v>8.2757025946710669</v>
      </c>
      <c r="S69" s="22">
        <v>8.2448635214542758</v>
      </c>
      <c r="T69" s="22">
        <v>8.2139615759843618</v>
      </c>
      <c r="U69" s="22">
        <v>8.1829995636234241</v>
      </c>
      <c r="V69" s="22">
        <v>8.1519803032799398</v>
      </c>
      <c r="W69" s="22">
        <v>8.1209066262855583</v>
      </c>
      <c r="X69" s="22">
        <v>8.0897813752657832</v>
      </c>
      <c r="Y69" s="22">
        <v>8.0586074030054853</v>
      </c>
      <c r="Z69" s="22">
        <v>8.0273875713102232</v>
      </c>
      <c r="AA69" s="22">
        <v>7.9961247498643466</v>
      </c>
    </row>
    <row r="70" spans="1:27" x14ac:dyDescent="0.35">
      <c r="A70" s="16">
        <v>52092</v>
      </c>
      <c r="B70" s="22">
        <v>8.2300021059490263</v>
      </c>
      <c r="C70" s="22">
        <v>8.2061495226237184</v>
      </c>
      <c r="D70" s="22">
        <v>8.1822088615521409</v>
      </c>
      <c r="E70" s="22">
        <v>8.1581816798549127</v>
      </c>
      <c r="F70" s="22">
        <v>8.1340695554292726</v>
      </c>
      <c r="G70" s="22">
        <v>8.1098740864995342</v>
      </c>
      <c r="H70" s="22">
        <v>8.0855968911561185</v>
      </c>
      <c r="I70" s="22">
        <v>8.0612396068833867</v>
      </c>
      <c r="J70" s="22">
        <v>8.0368038900766372</v>
      </c>
      <c r="K70" s="22">
        <v>8.012291415548507</v>
      </c>
      <c r="L70" s="22">
        <v>7.9877038760251358</v>
      </c>
      <c r="M70" s="22">
        <v>7.9630429816323964</v>
      </c>
      <c r="N70" s="22">
        <v>7.9383104593725351</v>
      </c>
      <c r="O70" s="22">
        <v>7.9135080525915402</v>
      </c>
      <c r="P70" s="22">
        <v>7.8886375204376415</v>
      </c>
      <c r="Q70" s="22">
        <v>7.8637006373112577</v>
      </c>
      <c r="R70" s="22">
        <v>7.8386991923067768</v>
      </c>
      <c r="S70" s="22">
        <v>7.8136349886465544</v>
      </c>
      <c r="T70" s="22">
        <v>7.7885098431075228</v>
      </c>
      <c r="U70" s="22">
        <v>7.7633255854407626</v>
      </c>
      <c r="V70" s="22">
        <v>7.7380840577845014</v>
      </c>
      <c r="W70" s="22">
        <v>7.7127871140708884</v>
      </c>
      <c r="X70" s="22">
        <v>7.6874366194269896</v>
      </c>
      <c r="Y70" s="22">
        <v>7.6620344495704042</v>
      </c>
      <c r="Z70" s="22">
        <v>7.6365824901999364</v>
      </c>
      <c r="AA70" s="22">
        <v>7.6110826363817363</v>
      </c>
    </row>
    <row r="71" spans="1:27" x14ac:dyDescent="0.35">
      <c r="A71" s="16">
        <v>52457</v>
      </c>
      <c r="B71" s="22">
        <v>7.6743221638585952</v>
      </c>
      <c r="C71" s="22">
        <v>7.6555105159953785</v>
      </c>
      <c r="D71" s="22">
        <v>7.6366285723092542</v>
      </c>
      <c r="E71" s="22">
        <v>7.6176772675428461</v>
      </c>
      <c r="F71" s="22">
        <v>7.5986575496831605</v>
      </c>
      <c r="G71" s="22">
        <v>7.5795703797581035</v>
      </c>
      <c r="H71" s="22">
        <v>7.5604167316272095</v>
      </c>
      <c r="I71" s="22">
        <v>7.5411975917666414</v>
      </c>
      <c r="J71" s="22">
        <v>7.5219139590485984</v>
      </c>
      <c r="K71" s="22">
        <v>7.5025668445152176</v>
      </c>
      <c r="L71" s="22">
        <v>7.4831572711470722</v>
      </c>
      <c r="M71" s="22">
        <v>7.4636862736263909</v>
      </c>
      <c r="N71" s="22">
        <v>7.4441548980951042</v>
      </c>
      <c r="O71" s="22">
        <v>7.4245642019078497</v>
      </c>
      <c r="P71" s="22">
        <v>7.4049152533800351</v>
      </c>
      <c r="Q71" s="22">
        <v>7.385209131531135</v>
      </c>
      <c r="R71" s="22">
        <v>7.3654469258233002</v>
      </c>
      <c r="S71" s="22">
        <v>7.3456297358954474</v>
      </c>
      <c r="T71" s="22">
        <v>7.3257586712929657</v>
      </c>
      <c r="U71" s="22">
        <v>7.3058348511931701</v>
      </c>
      <c r="V71" s="22">
        <v>7.2858594041266604</v>
      </c>
      <c r="W71" s="22">
        <v>7.2658334676947396</v>
      </c>
      <c r="X71" s="22">
        <v>7.2457581882830109</v>
      </c>
      <c r="Y71" s="22">
        <v>7.2256347207713691</v>
      </c>
      <c r="Z71" s="22">
        <v>7.2054642282404746</v>
      </c>
      <c r="AA71" s="22">
        <v>7.1852478816749246</v>
      </c>
    </row>
    <row r="72" spans="1:27" x14ac:dyDescent="0.35">
      <c r="A72" s="16">
        <v>52823</v>
      </c>
      <c r="B72" s="22">
        <v>7.0892458564033856</v>
      </c>
      <c r="C72" s="22">
        <v>7.0748785780091392</v>
      </c>
      <c r="D72" s="22">
        <v>7.0604582967233291</v>
      </c>
      <c r="E72" s="22">
        <v>7.0459855351085343</v>
      </c>
      <c r="F72" s="22">
        <v>7.0314608233874329</v>
      </c>
      <c r="G72" s="22">
        <v>7.0168846993605527</v>
      </c>
      <c r="H72" s="22">
        <v>7.0022577083214319</v>
      </c>
      <c r="I72" s="22">
        <v>6.9875804029692636</v>
      </c>
      <c r="J72" s="22">
        <v>6.9728533433190325</v>
      </c>
      <c r="K72" s="22">
        <v>6.9580770966091645</v>
      </c>
      <c r="L72" s="22">
        <v>6.9432522372067451</v>
      </c>
      <c r="M72" s="22">
        <v>6.9283793465103116</v>
      </c>
      <c r="N72" s="22">
        <v>6.9134590128502742</v>
      </c>
      <c r="O72" s="22">
        <v>6.898491831386993</v>
      </c>
      <c r="P72" s="22">
        <v>6.8834784040065484</v>
      </c>
      <c r="Q72" s="22">
        <v>6.8684193392142534</v>
      </c>
      <c r="R72" s="22">
        <v>6.8533152520259124</v>
      </c>
      <c r="S72" s="22">
        <v>6.8381667638569343</v>
      </c>
      <c r="T72" s="22">
        <v>6.8229745024092674</v>
      </c>
      <c r="U72" s="22">
        <v>6.8077391015562494</v>
      </c>
      <c r="V72" s="22">
        <v>6.7924612012254117</v>
      </c>
      <c r="W72" s="22">
        <v>6.777141447279261</v>
      </c>
      <c r="X72" s="22">
        <v>6.7617804913941031</v>
      </c>
      <c r="Y72" s="22">
        <v>6.7463789909369734</v>
      </c>
      <c r="Z72" s="22">
        <v>6.7309376088406792</v>
      </c>
      <c r="AA72" s="22">
        <v>6.7154570134770557</v>
      </c>
    </row>
    <row r="73" spans="1:27" x14ac:dyDescent="0.35">
      <c r="A73" s="16">
        <v>53188</v>
      </c>
      <c r="B73" s="22">
        <v>6.4724596387643452</v>
      </c>
      <c r="C73" s="22">
        <v>6.4619222460300776</v>
      </c>
      <c r="D73" s="22">
        <v>6.451347547080962</v>
      </c>
      <c r="E73" s="22">
        <v>6.4407358100877321</v>
      </c>
      <c r="F73" s="22">
        <v>6.4300873071612186</v>
      </c>
      <c r="G73" s="22">
        <v>6.419402314323075</v>
      </c>
      <c r="H73" s="22">
        <v>6.4086811114755573</v>
      </c>
      <c r="I73" s="22">
        <v>6.3979239823703269</v>
      </c>
      <c r="J73" s="22">
        <v>6.3871312145763399</v>
      </c>
      <c r="K73" s="22">
        <v>6.3763030994467691</v>
      </c>
      <c r="L73" s="22">
        <v>6.3654399320850068</v>
      </c>
      <c r="M73" s="22">
        <v>6.354542011309749</v>
      </c>
      <c r="N73" s="22">
        <v>6.3436096396191566</v>
      </c>
      <c r="O73" s="22">
        <v>6.3326431231541136</v>
      </c>
      <c r="P73" s="22">
        <v>6.3216427716605894</v>
      </c>
      <c r="Q73" s="22">
        <v>6.3106088984511146</v>
      </c>
      <c r="R73" s="22">
        <v>6.2995418203653779</v>
      </c>
      <c r="S73" s="22">
        <v>6.2884418577299561</v>
      </c>
      <c r="T73" s="22">
        <v>6.2773093343171933</v>
      </c>
      <c r="U73" s="22">
        <v>6.2661445773032254</v>
      </c>
      <c r="V73" s="22">
        <v>6.2549479172251807</v>
      </c>
      <c r="W73" s="22">
        <v>6.2437196879375589</v>
      </c>
      <c r="X73" s="22">
        <v>6.23246022656779</v>
      </c>
      <c r="Y73" s="22">
        <v>6.2211698734710108</v>
      </c>
      <c r="Z73" s="22">
        <v>6.2098489721840542</v>
      </c>
      <c r="AA73" s="22">
        <v>6.1984978693786603</v>
      </c>
    </row>
    <row r="74" spans="1:27" x14ac:dyDescent="0.35">
      <c r="A74" s="16">
        <v>53553</v>
      </c>
      <c r="B74" s="22">
        <v>5.8213696998985069</v>
      </c>
      <c r="C74" s="22">
        <v>5.8140371670712065</v>
      </c>
      <c r="D74" s="22">
        <v>5.806680582675722</v>
      </c>
      <c r="E74" s="22">
        <v>5.799300071013068</v>
      </c>
      <c r="F74" s="22">
        <v>5.7918957581298027</v>
      </c>
      <c r="G74" s="22">
        <v>5.7844677718088802</v>
      </c>
      <c r="H74" s="22">
        <v>5.7770162415602089</v>
      </c>
      <c r="I74" s="22">
        <v>5.7695412986109158</v>
      </c>
      <c r="J74" s="22">
        <v>5.7620430758953338</v>
      </c>
      <c r="K74" s="22">
        <v>5.7545217080446873</v>
      </c>
      <c r="L74" s="22">
        <v>5.7469773313765087</v>
      </c>
      <c r="M74" s="22">
        <v>5.7394100838837563</v>
      </c>
      <c r="N74" s="22">
        <v>5.7318201052236635</v>
      </c>
      <c r="O74" s="22">
        <v>5.7242075367062926</v>
      </c>
      <c r="P74" s="22">
        <v>5.7165725212828322</v>
      </c>
      <c r="Q74" s="22">
        <v>5.7089152035335919</v>
      </c>
      <c r="R74" s="22">
        <v>5.7012357296557434</v>
      </c>
      <c r="S74" s="22">
        <v>5.693534247450792</v>
      </c>
      <c r="T74" s="22">
        <v>5.6858109063117537</v>
      </c>
      <c r="U74" s="22">
        <v>5.6780658572100871</v>
      </c>
      <c r="V74" s="22">
        <v>5.6702992526823559</v>
      </c>
      <c r="W74" s="22">
        <v>5.662511246816635</v>
      </c>
      <c r="X74" s="22">
        <v>5.6547019952386259</v>
      </c>
      <c r="Y74" s="22">
        <v>5.6468716550975628</v>
      </c>
      <c r="Z74" s="22">
        <v>5.6390203850518299</v>
      </c>
      <c r="AA74" s="22">
        <v>5.6311483452543287</v>
      </c>
    </row>
    <row r="75" spans="1:27" x14ac:dyDescent="0.35">
      <c r="A75" s="16">
        <v>53918</v>
      </c>
      <c r="B75" s="22">
        <v>5.1330559352699607</v>
      </c>
      <c r="C75" s="22">
        <v>5.128302757795157</v>
      </c>
      <c r="D75" s="22">
        <v>5.1235358129523041</v>
      </c>
      <c r="E75" s="22">
        <v>5.1187551519924828</v>
      </c>
      <c r="F75" s="22">
        <v>5.1139608267976699</v>
      </c>
      <c r="G75" s="22">
        <v>5.1091528898781462</v>
      </c>
      <c r="H75" s="22">
        <v>5.1043313943698641</v>
      </c>
      <c r="I75" s="22">
        <v>5.0994963940317257</v>
      </c>
      <c r="J75" s="22">
        <v>5.0946479432428138</v>
      </c>
      <c r="K75" s="22">
        <v>5.0897860969995383</v>
      </c>
      <c r="L75" s="22">
        <v>5.0849109109127362</v>
      </c>
      <c r="M75" s="22">
        <v>5.0800224412046999</v>
      </c>
      <c r="N75" s="22">
        <v>5.0751207447061315</v>
      </c>
      <c r="O75" s="22">
        <v>5.0702058788530575</v>
      </c>
      <c r="P75" s="22">
        <v>5.0652779016836504</v>
      </c>
      <c r="Q75" s="22">
        <v>5.0603368718350028</v>
      </c>
      <c r="R75" s="22">
        <v>5.0553828485398471</v>
      </c>
      <c r="S75" s="22">
        <v>5.0504158916231914</v>
      </c>
      <c r="T75" s="22">
        <v>5.0454360614989087</v>
      </c>
      <c r="U75" s="22">
        <v>5.0404434191662624</v>
      </c>
      <c r="V75" s="22">
        <v>5.0354380262063625</v>
      </c>
      <c r="W75" s="22">
        <v>5.0304199447785738</v>
      </c>
      <c r="X75" s="22">
        <v>5.0253892376168485</v>
      </c>
      <c r="Y75" s="22">
        <v>5.0203459680260174</v>
      </c>
      <c r="Z75" s="22">
        <v>5.0152901998780015</v>
      </c>
      <c r="AA75" s="22">
        <v>5.010221997607978</v>
      </c>
    </row>
    <row r="76" spans="1:27" x14ac:dyDescent="0.35">
      <c r="A76" s="16">
        <v>54284</v>
      </c>
      <c r="B76" s="22">
        <v>4.4042165133703506</v>
      </c>
      <c r="C76" s="22">
        <v>4.4014302904169567</v>
      </c>
      <c r="D76" s="22">
        <v>4.3986374494572491</v>
      </c>
      <c r="E76" s="22">
        <v>4.3958380090857716</v>
      </c>
      <c r="F76" s="22">
        <v>4.3930319880644095</v>
      </c>
      <c r="G76" s="22">
        <v>4.3902194053217185</v>
      </c>
      <c r="H76" s="22">
        <v>4.3874002799522565</v>
      </c>
      <c r="I76" s="22">
        <v>4.38457463121589</v>
      </c>
      <c r="J76" s="22">
        <v>4.3817424785371069</v>
      </c>
      <c r="K76" s="22">
        <v>4.3789038415043056</v>
      </c>
      <c r="L76" s="22">
        <v>4.3760587398690873</v>
      </c>
      <c r="M76" s="22">
        <v>4.3732071935455341</v>
      </c>
      <c r="N76" s="22">
        <v>4.3703492226094705</v>
      </c>
      <c r="O76" s="22">
        <v>4.3674848472977326</v>
      </c>
      <c r="P76" s="22">
        <v>4.3646140880074125</v>
      </c>
      <c r="Q76" s="22">
        <v>4.3617369652950977</v>
      </c>
      <c r="R76" s="22">
        <v>4.3588534998761155</v>
      </c>
      <c r="S76" s="22">
        <v>4.355963712623744</v>
      </c>
      <c r="T76" s="22">
        <v>4.3530676245684337</v>
      </c>
      <c r="U76" s="22">
        <v>4.3501652568970117</v>
      </c>
      <c r="V76" s="22">
        <v>4.3472566309518861</v>
      </c>
      <c r="W76" s="22">
        <v>4.3443417682302252</v>
      </c>
      <c r="X76" s="22">
        <v>4.3414206903831456</v>
      </c>
      <c r="Y76" s="22">
        <v>4.338493419214883</v>
      </c>
      <c r="Z76" s="22">
        <v>4.3355599766819566</v>
      </c>
      <c r="AA76" s="22">
        <v>4.332620384892321</v>
      </c>
    </row>
    <row r="77" spans="1:27" x14ac:dyDescent="0.35">
      <c r="A77" s="16">
        <v>54649</v>
      </c>
      <c r="B77" s="22">
        <v>3.6311007194358607</v>
      </c>
      <c r="C77" s="22">
        <v>3.629700362923165</v>
      </c>
      <c r="D77" s="22">
        <v>3.6282976274409715</v>
      </c>
      <c r="E77" s="22">
        <v>3.6268925187693828</v>
      </c>
      <c r="F77" s="22">
        <v>3.6254850427128811</v>
      </c>
      <c r="G77" s="22">
        <v>3.6240752051001954</v>
      </c>
      <c r="H77" s="22">
        <v>3.6226630117841729</v>
      </c>
      <c r="I77" s="22">
        <v>3.6212484686416468</v>
      </c>
      <c r="J77" s="22">
        <v>3.6198315815733082</v>
      </c>
      <c r="K77" s="22">
        <v>3.618412356503574</v>
      </c>
      <c r="L77" s="22">
        <v>3.6169907993804524</v>
      </c>
      <c r="M77" s="22">
        <v>3.615566916175418</v>
      </c>
      <c r="N77" s="22">
        <v>3.6141407128832732</v>
      </c>
      <c r="O77" s="22">
        <v>3.6127121955220178</v>
      </c>
      <c r="P77" s="22">
        <v>3.6112813701327178</v>
      </c>
      <c r="Q77" s="22">
        <v>3.6098482427793681</v>
      </c>
      <c r="R77" s="22">
        <v>3.6084128195487617</v>
      </c>
      <c r="S77" s="22">
        <v>3.6069751065503555</v>
      </c>
      <c r="T77" s="22">
        <v>3.6055351099161337</v>
      </c>
      <c r="U77" s="22">
        <v>3.6040928358004773</v>
      </c>
      <c r="V77" s="22">
        <v>3.6026482903800221</v>
      </c>
      <c r="W77" s="22">
        <v>3.6012014798535286</v>
      </c>
      <c r="X77" s="22">
        <v>3.5997524104417469</v>
      </c>
      <c r="Y77" s="22">
        <v>3.5983010883872755</v>
      </c>
      <c r="Z77" s="22">
        <v>3.596847519954427</v>
      </c>
      <c r="AA77" s="22">
        <v>3.5953917114290941</v>
      </c>
    </row>
    <row r="78" spans="1:27" x14ac:dyDescent="0.35">
      <c r="A78" s="16">
        <v>55014</v>
      </c>
      <c r="B78" s="22">
        <v>2.809427084203973</v>
      </c>
      <c r="C78" s="22">
        <v>2.8088871372227966</v>
      </c>
      <c r="D78" s="22">
        <v>2.8083467358248444</v>
      </c>
      <c r="E78" s="22">
        <v>2.8078058812639037</v>
      </c>
      <c r="F78" s="22">
        <v>2.8072645747932103</v>
      </c>
      <c r="G78" s="22">
        <v>2.8067228176654448</v>
      </c>
      <c r="H78" s="22">
        <v>2.8061806111327274</v>
      </c>
      <c r="I78" s="22">
        <v>2.8056379564466121</v>
      </c>
      <c r="J78" s="22">
        <v>2.8050948548580834</v>
      </c>
      <c r="K78" s="22">
        <v>2.8045513076175501</v>
      </c>
      <c r="L78" s="22">
        <v>2.8040073159748431</v>
      </c>
      <c r="M78" s="22">
        <v>2.8034628811792075</v>
      </c>
      <c r="N78" s="22">
        <v>2.8029180044792974</v>
      </c>
      <c r="O78" s="22">
        <v>2.8023726871231753</v>
      </c>
      <c r="P78" s="22">
        <v>2.8018269303583043</v>
      </c>
      <c r="Q78" s="22">
        <v>2.8012807354315434</v>
      </c>
      <c r="R78" s="22">
        <v>2.8007341035891442</v>
      </c>
      <c r="S78" s="22">
        <v>2.800187036076744</v>
      </c>
      <c r="T78" s="22">
        <v>2.7996395341393647</v>
      </c>
      <c r="U78" s="22">
        <v>2.7990915990214047</v>
      </c>
      <c r="V78" s="22">
        <v>2.7985432319666343</v>
      </c>
      <c r="W78" s="22">
        <v>2.7979944342181953</v>
      </c>
      <c r="X78" s="22">
        <v>2.7974452070185918</v>
      </c>
      <c r="Y78" s="22">
        <v>2.7968955516096865</v>
      </c>
      <c r="Z78" s="22">
        <v>2.7963454692326981</v>
      </c>
      <c r="AA78" s="22">
        <v>2.7957949611281951</v>
      </c>
    </row>
    <row r="79" spans="1:27" x14ac:dyDescent="0.35">
      <c r="A79" s="16">
        <v>55379</v>
      </c>
      <c r="B79" s="22">
        <v>1.9342828999555433</v>
      </c>
      <c r="C79" s="22">
        <v>1.9341659653303973</v>
      </c>
      <c r="D79" s="22">
        <v>1.9340490599726077</v>
      </c>
      <c r="E79" s="22">
        <v>1.9339321838711883</v>
      </c>
      <c r="F79" s="22">
        <v>1.9338153370151574</v>
      </c>
      <c r="G79" s="22">
        <v>1.9336985193935401</v>
      </c>
      <c r="H79" s="22">
        <v>1.9335817309953665</v>
      </c>
      <c r="I79" s="22">
        <v>1.9334649718096715</v>
      </c>
      <c r="J79" s="22">
        <v>1.9333482418254961</v>
      </c>
      <c r="K79" s="22">
        <v>1.9332315410318868</v>
      </c>
      <c r="L79" s="22">
        <v>1.9331148694178959</v>
      </c>
      <c r="M79" s="22">
        <v>1.9329982269725801</v>
      </c>
      <c r="N79" s="22">
        <v>1.9328816136850024</v>
      </c>
      <c r="O79" s="22">
        <v>1.9327650295442311</v>
      </c>
      <c r="P79" s="22">
        <v>1.9326484745393404</v>
      </c>
      <c r="Q79" s="22">
        <v>1.9325319486594092</v>
      </c>
      <c r="R79" s="22">
        <v>1.9324154518935219</v>
      </c>
      <c r="S79" s="22">
        <v>1.9322989842307692</v>
      </c>
      <c r="T79" s="22">
        <v>1.9321825456602459</v>
      </c>
      <c r="U79" s="22">
        <v>1.9320661361710534</v>
      </c>
      <c r="V79" s="22">
        <v>1.9319497557522984</v>
      </c>
      <c r="W79" s="22">
        <v>1.9318334043930929</v>
      </c>
      <c r="X79" s="22">
        <v>1.931717082082554</v>
      </c>
      <c r="Y79" s="22">
        <v>1.9316007888098041</v>
      </c>
      <c r="Z79" s="22">
        <v>1.9314845245639716</v>
      </c>
      <c r="AA79" s="22">
        <v>1.9313682893341906</v>
      </c>
    </row>
    <row r="80" spans="1:27" x14ac:dyDescent="0.35">
      <c r="A80" s="16">
        <v>55745</v>
      </c>
      <c r="B80" s="22">
        <v>1</v>
      </c>
      <c r="C80" s="22">
        <v>1</v>
      </c>
      <c r="D80" s="22">
        <v>1</v>
      </c>
      <c r="E80" s="22">
        <v>1</v>
      </c>
      <c r="F80" s="22">
        <v>1</v>
      </c>
      <c r="G80" s="22">
        <v>1</v>
      </c>
      <c r="H80" s="22">
        <v>1</v>
      </c>
      <c r="I80" s="22">
        <v>1</v>
      </c>
      <c r="J80" s="22">
        <v>1</v>
      </c>
      <c r="K80" s="22">
        <v>1</v>
      </c>
      <c r="L80" s="22">
        <v>1</v>
      </c>
      <c r="M80" s="22">
        <v>1</v>
      </c>
      <c r="N80" s="22">
        <v>1</v>
      </c>
      <c r="O80" s="22">
        <v>1</v>
      </c>
      <c r="P80" s="22">
        <v>1</v>
      </c>
      <c r="Q80" s="22">
        <v>1</v>
      </c>
      <c r="R80" s="22">
        <v>1</v>
      </c>
      <c r="S80" s="22">
        <v>1</v>
      </c>
      <c r="T80" s="22">
        <v>1</v>
      </c>
      <c r="U80" s="22">
        <v>1</v>
      </c>
      <c r="V80" s="22">
        <v>1</v>
      </c>
      <c r="W80" s="22">
        <v>1</v>
      </c>
      <c r="X80" s="22">
        <v>1</v>
      </c>
      <c r="Y80" s="22">
        <v>1</v>
      </c>
      <c r="Z80" s="22">
        <v>1</v>
      </c>
      <c r="AA80" s="22">
        <v>1</v>
      </c>
    </row>
    <row r="81" spans="1:27" x14ac:dyDescent="0.35">
      <c r="A81" s="16">
        <v>56109</v>
      </c>
      <c r="B81" s="22">
        <v>2.7777777777777683E-3</v>
      </c>
      <c r="C81" s="22">
        <v>2.7777777777777688E-3</v>
      </c>
      <c r="D81" s="22">
        <v>2.7777777777777688E-3</v>
      </c>
      <c r="E81" s="22">
        <v>2.7777777777777688E-3</v>
      </c>
      <c r="F81" s="22">
        <v>2.7777777777777688E-3</v>
      </c>
      <c r="G81" s="22">
        <v>2.7777777777777683E-3</v>
      </c>
      <c r="H81" s="22">
        <v>2.7777777777777683E-3</v>
      </c>
      <c r="I81" s="22">
        <v>2.7777777777777683E-3</v>
      </c>
      <c r="J81" s="22">
        <v>2.7777777777777683E-3</v>
      </c>
      <c r="K81" s="22">
        <v>2.7777777777777683E-3</v>
      </c>
      <c r="L81" s="22">
        <v>2.7777777777777683E-3</v>
      </c>
      <c r="M81" s="22">
        <v>2.7777777777777688E-3</v>
      </c>
      <c r="N81" s="22">
        <v>2.7777777777777683E-3</v>
      </c>
      <c r="O81" s="22">
        <v>2.7777777777777683E-3</v>
      </c>
      <c r="P81" s="22">
        <v>2.7777777777777692E-3</v>
      </c>
      <c r="Q81" s="22">
        <v>2.7777777777777683E-3</v>
      </c>
      <c r="R81" s="22">
        <v>2.7777777777777683E-3</v>
      </c>
      <c r="S81" s="22">
        <v>2.7777777777777688E-3</v>
      </c>
      <c r="T81" s="22">
        <v>2.7777777777777683E-3</v>
      </c>
      <c r="U81" s="22">
        <v>2.7777777777777683E-3</v>
      </c>
      <c r="V81" s="22">
        <v>2.7777777777777679E-3</v>
      </c>
      <c r="W81" s="22">
        <v>2.7777777777777688E-3</v>
      </c>
      <c r="X81" s="22">
        <v>2.7777777777777692E-3</v>
      </c>
      <c r="Y81" s="22">
        <v>2.7777777777777679E-3</v>
      </c>
      <c r="Z81" s="22">
        <v>2.7777777777777679E-3</v>
      </c>
      <c r="AA81" s="22">
        <v>2.7777777777777688E-3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10Y_bond</vt:lpstr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Kunde</dc:creator>
  <cp:lastModifiedBy>Kunal Kunde</cp:lastModifiedBy>
  <dcterms:created xsi:type="dcterms:W3CDTF">2024-01-21T17:05:23Z</dcterms:created>
  <dcterms:modified xsi:type="dcterms:W3CDTF">2024-01-27T07:54:12Z</dcterms:modified>
</cp:coreProperties>
</file>