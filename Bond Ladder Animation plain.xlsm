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234f8afc0825c2/Documents/SOM 660/Lec 4/"/>
    </mc:Choice>
  </mc:AlternateContent>
  <xr:revisionPtr revIDLastSave="7" documentId="8_{560128CE-05C4-4FC5-8F9C-E204C2C60913}" xr6:coauthVersionLast="47" xr6:coauthVersionMax="47" xr10:uidLastSave="{4D47FDFF-F0E6-482E-A3FD-131C42E12274}"/>
  <bookViews>
    <workbookView xWindow="-110" yWindow="-110" windowWidth="19420" windowHeight="11500" xr2:uid="{25054F20-869F-4FBF-8A5B-082A8C52EC9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" l="1"/>
  <c r="A40" i="1"/>
  <c r="A39" i="1"/>
  <c r="A38" i="1"/>
  <c r="G37" i="1"/>
  <c r="D36" i="1"/>
  <c r="A35" i="1"/>
  <c r="F34" i="1"/>
  <c r="A34" i="1"/>
  <c r="A32" i="1"/>
  <c r="A31" i="1"/>
  <c r="Q28" i="1"/>
  <c r="P28" i="1"/>
  <c r="A28" i="1"/>
  <c r="AE27" i="1"/>
  <c r="AD27" i="1"/>
  <c r="AC27" i="1"/>
  <c r="AB27" i="1"/>
  <c r="AA27" i="1"/>
  <c r="W27" i="1"/>
  <c r="S27" i="1"/>
  <c r="R27" i="1"/>
  <c r="Q27" i="1"/>
  <c r="P27" i="1"/>
  <c r="O27" i="1"/>
  <c r="N27" i="1"/>
  <c r="M27" i="1"/>
  <c r="L27" i="1"/>
  <c r="E27" i="1"/>
  <c r="D27" i="1"/>
  <c r="C27" i="1"/>
  <c r="B27" i="1"/>
  <c r="A27" i="1"/>
  <c r="AF26" i="1"/>
  <c r="AE26" i="1"/>
  <c r="AB26" i="1"/>
  <c r="AA26" i="1"/>
  <c r="Z26" i="1"/>
  <c r="Y26" i="1"/>
  <c r="X26" i="1"/>
  <c r="W26" i="1"/>
  <c r="V26" i="1"/>
  <c r="U26" i="1"/>
  <c r="T26" i="1"/>
  <c r="S26" i="1"/>
  <c r="P26" i="1"/>
  <c r="O26" i="1"/>
  <c r="N26" i="1"/>
  <c r="M26" i="1"/>
  <c r="L26" i="1"/>
  <c r="K26" i="1"/>
  <c r="J26" i="1"/>
  <c r="I26" i="1"/>
  <c r="H26" i="1"/>
  <c r="G26" i="1"/>
  <c r="D26" i="1"/>
  <c r="C26" i="1"/>
  <c r="B26" i="1"/>
  <c r="A26" i="1"/>
  <c r="P25" i="1"/>
  <c r="A25" i="1"/>
  <c r="AE24" i="1"/>
  <c r="Y24" i="1"/>
  <c r="X24" i="1"/>
  <c r="W24" i="1"/>
  <c r="S24" i="1"/>
  <c r="R24" i="1"/>
  <c r="Q24" i="1"/>
  <c r="P24" i="1"/>
  <c r="G24" i="1"/>
  <c r="F24" i="1"/>
  <c r="E24" i="1"/>
  <c r="D24" i="1"/>
  <c r="C24" i="1"/>
  <c r="B24" i="1"/>
  <c r="A24" i="1"/>
  <c r="A37" i="1" s="1"/>
  <c r="X23" i="1"/>
  <c r="W23" i="1"/>
  <c r="V23" i="1"/>
  <c r="T23" i="1"/>
  <c r="I23" i="1"/>
  <c r="H23" i="1"/>
  <c r="G23" i="1"/>
  <c r="C23" i="1"/>
  <c r="B23" i="1"/>
  <c r="A23" i="1"/>
  <c r="A36" i="1" s="1"/>
  <c r="AF22" i="1"/>
  <c r="AD22" i="1"/>
  <c r="AB22" i="1"/>
  <c r="AA22" i="1"/>
  <c r="W22" i="1"/>
  <c r="V22" i="1"/>
  <c r="U22" i="1"/>
  <c r="T22" i="1"/>
  <c r="S22" i="1"/>
  <c r="R22" i="1"/>
  <c r="Q22" i="1"/>
  <c r="O22" i="1"/>
  <c r="J22" i="1"/>
  <c r="I22" i="1"/>
  <c r="H22" i="1"/>
  <c r="G22" i="1"/>
  <c r="F22" i="1"/>
  <c r="E22" i="1"/>
  <c r="D22" i="1"/>
  <c r="C22" i="1"/>
  <c r="A22" i="1"/>
  <c r="Z21" i="1"/>
  <c r="Y21" i="1"/>
  <c r="X21" i="1"/>
  <c r="W21" i="1"/>
  <c r="S21" i="1"/>
  <c r="R21" i="1"/>
  <c r="Q21" i="1"/>
  <c r="K21" i="1"/>
  <c r="G21" i="1"/>
  <c r="F21" i="1"/>
  <c r="E21" i="1"/>
  <c r="D21" i="1"/>
  <c r="C21" i="1"/>
  <c r="B21" i="1"/>
  <c r="A21" i="1"/>
  <c r="Y20" i="1"/>
  <c r="X20" i="1"/>
  <c r="V20" i="1"/>
  <c r="S20" i="1"/>
  <c r="J20" i="1"/>
  <c r="I20" i="1"/>
  <c r="H20" i="1"/>
  <c r="G20" i="1"/>
  <c r="C20" i="1"/>
  <c r="B20" i="1"/>
  <c r="A20" i="1"/>
  <c r="A33" i="1" s="1"/>
  <c r="AF19" i="1"/>
  <c r="AE19" i="1"/>
  <c r="AD19" i="1"/>
  <c r="AC19" i="1"/>
  <c r="AB19" i="1"/>
  <c r="AA19" i="1"/>
  <c r="X19" i="1"/>
  <c r="W19" i="1"/>
  <c r="V19" i="1"/>
  <c r="U19" i="1"/>
  <c r="T19" i="1"/>
  <c r="S19" i="1"/>
  <c r="R19" i="1"/>
  <c r="Q19" i="1"/>
  <c r="P19" i="1"/>
  <c r="O19" i="1"/>
  <c r="L19" i="1"/>
  <c r="K19" i="1"/>
  <c r="J19" i="1"/>
  <c r="I19" i="1"/>
  <c r="H19" i="1"/>
  <c r="G19" i="1"/>
  <c r="F19" i="1"/>
  <c r="E19" i="1"/>
  <c r="D19" i="1"/>
  <c r="C19" i="1"/>
  <c r="A19" i="1"/>
  <c r="N18" i="1"/>
  <c r="M18" i="1"/>
  <c r="A18" i="1"/>
  <c r="B15" i="1"/>
  <c r="D14" i="1"/>
  <c r="C14" i="1"/>
  <c r="D13" i="1"/>
  <c r="F13" i="1" s="1"/>
  <c r="C13" i="1"/>
  <c r="Y27" i="1" s="1"/>
  <c r="D12" i="1"/>
  <c r="F12" i="1" s="1"/>
  <c r="C12" i="1"/>
  <c r="AD26" i="1" s="1"/>
  <c r="D11" i="1"/>
  <c r="F11" i="1" s="1"/>
  <c r="C11" i="1"/>
  <c r="D10" i="1"/>
  <c r="F10" i="1" s="1"/>
  <c r="C10" i="1"/>
  <c r="AA24" i="1" s="1"/>
  <c r="D9" i="1"/>
  <c r="C9" i="1"/>
  <c r="D8" i="1"/>
  <c r="F8" i="1" s="1"/>
  <c r="C8" i="1"/>
  <c r="AC22" i="1" s="1"/>
  <c r="D7" i="1"/>
  <c r="C7" i="1"/>
  <c r="AD21" i="1" s="1"/>
  <c r="D6" i="1"/>
  <c r="F6" i="1" s="1"/>
  <c r="C6" i="1"/>
  <c r="T20" i="1" s="1"/>
  <c r="D5" i="1"/>
  <c r="F5" i="1" s="1"/>
  <c r="C5" i="1"/>
  <c r="Z19" i="1" s="1"/>
  <c r="D4" i="1"/>
  <c r="C4" i="1"/>
  <c r="H18" i="1" s="1"/>
  <c r="J40" i="1" l="1"/>
  <c r="F40" i="1"/>
  <c r="Z25" i="1"/>
  <c r="N25" i="1"/>
  <c r="B25" i="1"/>
  <c r="Y25" i="1"/>
  <c r="M25" i="1"/>
  <c r="X25" i="1"/>
  <c r="L25" i="1"/>
  <c r="AD25" i="1"/>
  <c r="O25" i="1"/>
  <c r="AC25" i="1"/>
  <c r="K25" i="1"/>
  <c r="AA25" i="1"/>
  <c r="W25" i="1"/>
  <c r="H25" i="1"/>
  <c r="AB25" i="1"/>
  <c r="J25" i="1"/>
  <c r="I25" i="1"/>
  <c r="Z28" i="1"/>
  <c r="N28" i="1"/>
  <c r="B28" i="1"/>
  <c r="X28" i="1"/>
  <c r="Y28" i="1"/>
  <c r="M28" i="1"/>
  <c r="L28" i="1"/>
  <c r="W28" i="1"/>
  <c r="H28" i="1"/>
  <c r="V28" i="1"/>
  <c r="S28" i="1"/>
  <c r="G28" i="1"/>
  <c r="U28" i="1"/>
  <c r="F28" i="1"/>
  <c r="T28" i="1"/>
  <c r="E28" i="1"/>
  <c r="D28" i="1"/>
  <c r="X18" i="1"/>
  <c r="B36" i="1"/>
  <c r="F14" i="1"/>
  <c r="Y18" i="1"/>
  <c r="T25" i="1"/>
  <c r="AB28" i="1"/>
  <c r="H37" i="1"/>
  <c r="B40" i="1"/>
  <c r="U25" i="1"/>
  <c r="AC28" i="1"/>
  <c r="I37" i="1"/>
  <c r="AA18" i="1"/>
  <c r="V25" i="1"/>
  <c r="AD28" i="1"/>
  <c r="R34" i="1"/>
  <c r="K39" i="1"/>
  <c r="AD23" i="1"/>
  <c r="R23" i="1"/>
  <c r="F23" i="1"/>
  <c r="K36" i="1" s="1"/>
  <c r="D23" i="1"/>
  <c r="V36" i="1" s="1"/>
  <c r="AC23" i="1"/>
  <c r="Q23" i="1"/>
  <c r="E23" i="1"/>
  <c r="AB23" i="1"/>
  <c r="P23" i="1"/>
  <c r="AF23" i="1"/>
  <c r="N23" i="1"/>
  <c r="AE23" i="1"/>
  <c r="M23" i="1"/>
  <c r="Z23" i="1"/>
  <c r="J23" i="1"/>
  <c r="K23" i="1"/>
  <c r="AA23" i="1"/>
  <c r="L23" i="1"/>
  <c r="Y23" i="1"/>
  <c r="AC18" i="1"/>
  <c r="D25" i="1"/>
  <c r="I28" i="1"/>
  <c r="AF28" i="1"/>
  <c r="L39" i="1"/>
  <c r="E33" i="1"/>
  <c r="Q25" i="1"/>
  <c r="W18" i="1"/>
  <c r="R25" i="1"/>
  <c r="R28" i="1"/>
  <c r="S25" i="1"/>
  <c r="F36" i="1"/>
  <c r="F37" i="1"/>
  <c r="D37" i="1"/>
  <c r="AC37" i="1"/>
  <c r="E37" i="1"/>
  <c r="C37" i="1"/>
  <c r="B37" i="1"/>
  <c r="E10" i="1" a="1"/>
  <c r="E10" i="1" s="1"/>
  <c r="O37" i="1"/>
  <c r="Z18" i="1"/>
  <c r="H36" i="1"/>
  <c r="F18" i="1"/>
  <c r="AB18" i="1"/>
  <c r="C25" i="1"/>
  <c r="AE25" i="1"/>
  <c r="C28" i="1"/>
  <c r="AE28" i="1"/>
  <c r="M36" i="1"/>
  <c r="N40" i="1"/>
  <c r="AD20" i="1"/>
  <c r="R20" i="1"/>
  <c r="F20" i="1"/>
  <c r="AB20" i="1"/>
  <c r="D20" i="1"/>
  <c r="R33" i="1" s="1"/>
  <c r="AC20" i="1"/>
  <c r="Q20" i="1"/>
  <c r="E20" i="1"/>
  <c r="Q33" i="1" s="1"/>
  <c r="P20" i="1"/>
  <c r="O20" i="1"/>
  <c r="AA33" i="1" s="1"/>
  <c r="AF20" i="1"/>
  <c r="N20" i="1"/>
  <c r="AA20" i="1"/>
  <c r="Z20" i="1"/>
  <c r="L20" i="1"/>
  <c r="AE20" i="1"/>
  <c r="M20" i="1"/>
  <c r="K20" i="1"/>
  <c r="G18" i="1"/>
  <c r="O23" i="1"/>
  <c r="AF25" i="1"/>
  <c r="F9" i="1"/>
  <c r="U20" i="1"/>
  <c r="S23" i="1"/>
  <c r="E25" i="1"/>
  <c r="J28" i="1"/>
  <c r="V18" i="1"/>
  <c r="J18" i="1"/>
  <c r="AF18" i="1"/>
  <c r="U18" i="1"/>
  <c r="I18" i="1"/>
  <c r="T18" i="1"/>
  <c r="S18" i="1"/>
  <c r="E18" i="1"/>
  <c r="R18" i="1"/>
  <c r="P18" i="1"/>
  <c r="O18" i="1"/>
  <c r="D18" i="1"/>
  <c r="AE18" i="1"/>
  <c r="B18" i="1"/>
  <c r="Q18" i="1"/>
  <c r="C18" i="1"/>
  <c r="AD18" i="1"/>
  <c r="F4" i="1"/>
  <c r="E7" i="1" a="1"/>
  <c r="E7" i="1" s="1"/>
  <c r="V34" i="1"/>
  <c r="J34" i="1"/>
  <c r="N34" i="1"/>
  <c r="Z34" i="1"/>
  <c r="AA28" i="1"/>
  <c r="E6" i="1" a="1"/>
  <c r="E6" i="1" s="1"/>
  <c r="E9" i="1" a="1"/>
  <c r="E9" i="1" s="1"/>
  <c r="K18" i="1"/>
  <c r="F25" i="1"/>
  <c r="E39" i="1"/>
  <c r="D39" i="1"/>
  <c r="X39" i="1"/>
  <c r="H39" i="1"/>
  <c r="E12" i="1" a="1"/>
  <c r="E12" i="1" s="1"/>
  <c r="B39" i="1"/>
  <c r="K28" i="1"/>
  <c r="B34" i="1"/>
  <c r="E13" i="1" a="1"/>
  <c r="E13" i="1" s="1"/>
  <c r="L18" i="1"/>
  <c r="W20" i="1"/>
  <c r="U23" i="1"/>
  <c r="G25" i="1"/>
  <c r="O28" i="1"/>
  <c r="B33" i="1"/>
  <c r="R40" i="1"/>
  <c r="L21" i="1"/>
  <c r="Z24" i="1"/>
  <c r="M21" i="1"/>
  <c r="L24" i="1"/>
  <c r="N21" i="1"/>
  <c r="AC21" i="1"/>
  <c r="K22" i="1"/>
  <c r="M24" i="1"/>
  <c r="AB24" i="1"/>
  <c r="F27" i="1"/>
  <c r="Z40" i="1" s="1"/>
  <c r="X27" i="1"/>
  <c r="AA21" i="1"/>
  <c r="AB21" i="1"/>
  <c r="V21" i="1"/>
  <c r="J21" i="1"/>
  <c r="T21" i="1"/>
  <c r="U21" i="1"/>
  <c r="I21" i="1"/>
  <c r="AA34" i="1" s="1"/>
  <c r="AF21" i="1"/>
  <c r="H21" i="1"/>
  <c r="M34" i="1" s="1"/>
  <c r="V24" i="1"/>
  <c r="J24" i="1"/>
  <c r="AF24" i="1"/>
  <c r="H24" i="1"/>
  <c r="P37" i="1" s="1"/>
  <c r="U24" i="1"/>
  <c r="I24" i="1"/>
  <c r="J37" i="1" s="1"/>
  <c r="T24" i="1"/>
  <c r="K24" i="1"/>
  <c r="S37" i="1" s="1"/>
  <c r="F7" i="1"/>
  <c r="V27" i="1"/>
  <c r="J27" i="1"/>
  <c r="AF27" i="1"/>
  <c r="H27" i="1"/>
  <c r="U27" i="1"/>
  <c r="I27" i="1"/>
  <c r="T27" i="1"/>
  <c r="O21" i="1"/>
  <c r="N24" i="1"/>
  <c r="AC24" i="1"/>
  <c r="G27" i="1"/>
  <c r="H40" i="1" s="1"/>
  <c r="Z22" i="1"/>
  <c r="N22" i="1"/>
  <c r="B22" i="1"/>
  <c r="L22" i="1"/>
  <c r="Y22" i="1"/>
  <c r="M22" i="1"/>
  <c r="X22" i="1"/>
  <c r="P21" i="1"/>
  <c r="AE21" i="1"/>
  <c r="P22" i="1"/>
  <c r="AE22" i="1"/>
  <c r="O24" i="1"/>
  <c r="AD24" i="1"/>
  <c r="K27" i="1"/>
  <c r="AA40" i="1" s="1"/>
  <c r="Z27" i="1"/>
  <c r="M19" i="1"/>
  <c r="Y19" i="1"/>
  <c r="E26" i="1"/>
  <c r="Q26" i="1"/>
  <c r="AC26" i="1"/>
  <c r="B19" i="1"/>
  <c r="N19" i="1"/>
  <c r="F26" i="1"/>
  <c r="T39" i="1" s="1"/>
  <c r="R26" i="1"/>
  <c r="AB39" i="1" s="1"/>
  <c r="L33" i="1" l="1"/>
  <c r="J36" i="1"/>
  <c r="S33" i="1"/>
  <c r="C39" i="1"/>
  <c r="AB37" i="1"/>
  <c r="P33" i="1"/>
  <c r="AD36" i="1"/>
  <c r="E40" i="1"/>
  <c r="T34" i="1"/>
  <c r="Q39" i="1"/>
  <c r="R37" i="1"/>
  <c r="W40" i="1"/>
  <c r="F39" i="1"/>
  <c r="L34" i="1"/>
  <c r="T36" i="1"/>
  <c r="G34" i="1"/>
  <c r="J33" i="1"/>
  <c r="AB33" i="1"/>
  <c r="O33" i="1"/>
  <c r="C36" i="1"/>
  <c r="D40" i="1"/>
  <c r="J39" i="1"/>
  <c r="Y39" i="1"/>
  <c r="AA39" i="1"/>
  <c r="Z39" i="1"/>
  <c r="W37" i="1"/>
  <c r="V37" i="1"/>
  <c r="R39" i="1"/>
  <c r="AB34" i="1"/>
  <c r="X34" i="1"/>
  <c r="U37" i="1"/>
  <c r="N33" i="1"/>
  <c r="Y33" i="1"/>
  <c r="F33" i="1"/>
  <c r="R36" i="1"/>
  <c r="S40" i="1"/>
  <c r="U34" i="1"/>
  <c r="O40" i="1"/>
  <c r="I40" i="1"/>
  <c r="S34" i="1"/>
  <c r="O36" i="1"/>
  <c r="L36" i="1"/>
  <c r="Q34" i="1"/>
  <c r="S36" i="1"/>
  <c r="V40" i="1"/>
  <c r="U39" i="1"/>
  <c r="K40" i="1"/>
  <c r="G39" i="1"/>
  <c r="W34" i="1"/>
  <c r="W33" i="1"/>
  <c r="M40" i="1"/>
  <c r="U40" i="1"/>
  <c r="X32" i="1"/>
  <c r="L32" i="1"/>
  <c r="J32" i="1"/>
  <c r="W32" i="1"/>
  <c r="K32" i="1"/>
  <c r="V32" i="1"/>
  <c r="AA32" i="1"/>
  <c r="I32" i="1"/>
  <c r="E5" i="1" a="1"/>
  <c r="E5" i="1" s="1"/>
  <c r="E32" i="1"/>
  <c r="Z32" i="1"/>
  <c r="H32" i="1"/>
  <c r="Y32" i="1"/>
  <c r="G32" i="1"/>
  <c r="U32" i="1"/>
  <c r="F32" i="1"/>
  <c r="T32" i="1"/>
  <c r="D32" i="1"/>
  <c r="C32" i="1"/>
  <c r="M32" i="1"/>
  <c r="AD32" i="1"/>
  <c r="B32" i="1"/>
  <c r="AB32" i="1"/>
  <c r="R32" i="1"/>
  <c r="N32" i="1"/>
  <c r="AC32" i="1"/>
  <c r="S32" i="1"/>
  <c r="Q32" i="1"/>
  <c r="P32" i="1"/>
  <c r="O32" i="1"/>
  <c r="M37" i="1"/>
  <c r="N37" i="1"/>
  <c r="X33" i="1"/>
  <c r="D33" i="1"/>
  <c r="I36" i="1"/>
  <c r="G36" i="1"/>
  <c r="N36" i="1"/>
  <c r="AD41" i="1"/>
  <c r="R41" i="1"/>
  <c r="F41" i="1"/>
  <c r="P41" i="1"/>
  <c r="D41" i="1"/>
  <c r="AC41" i="1"/>
  <c r="Q41" i="1"/>
  <c r="E41" i="1"/>
  <c r="E14" i="1" a="1"/>
  <c r="E14" i="1" s="1"/>
  <c r="AB41" i="1"/>
  <c r="AA41" i="1"/>
  <c r="L41" i="1"/>
  <c r="H41" i="1"/>
  <c r="G41" i="1"/>
  <c r="Z41" i="1"/>
  <c r="K41" i="1"/>
  <c r="Y41" i="1"/>
  <c r="J41" i="1"/>
  <c r="X41" i="1"/>
  <c r="I41" i="1"/>
  <c r="W41" i="1"/>
  <c r="V41" i="1"/>
  <c r="U41" i="1"/>
  <c r="T41" i="1"/>
  <c r="S41" i="1"/>
  <c r="N41" i="1"/>
  <c r="M41" i="1"/>
  <c r="C41" i="1"/>
  <c r="B41" i="1"/>
  <c r="O41" i="1"/>
  <c r="Y40" i="1"/>
  <c r="O39" i="1"/>
  <c r="N39" i="1"/>
  <c r="X40" i="1"/>
  <c r="Y36" i="1"/>
  <c r="U36" i="1"/>
  <c r="W39" i="1"/>
  <c r="AD39" i="1"/>
  <c r="T33" i="1"/>
  <c r="K33" i="1"/>
  <c r="T40" i="1"/>
  <c r="M39" i="1"/>
  <c r="O34" i="1"/>
  <c r="P34" i="1"/>
  <c r="AC36" i="1"/>
  <c r="AD34" i="1"/>
  <c r="AD31" i="1"/>
  <c r="R31" i="1"/>
  <c r="F31" i="1"/>
  <c r="P31" i="1"/>
  <c r="AC31" i="1"/>
  <c r="Q31" i="1"/>
  <c r="E31" i="1"/>
  <c r="AB31" i="1"/>
  <c r="D31" i="1"/>
  <c r="X31" i="1"/>
  <c r="I31" i="1"/>
  <c r="C31" i="1"/>
  <c r="W31" i="1"/>
  <c r="H31" i="1"/>
  <c r="B31" i="1"/>
  <c r="E4" i="1" a="1"/>
  <c r="E4" i="1" s="1"/>
  <c r="V31" i="1"/>
  <c r="G31" i="1"/>
  <c r="U31" i="1"/>
  <c r="T31" i="1"/>
  <c r="K31" i="1"/>
  <c r="J31" i="1"/>
  <c r="N31" i="1"/>
  <c r="M31" i="1"/>
  <c r="AA31" i="1"/>
  <c r="O31" i="1"/>
  <c r="L31" i="1"/>
  <c r="Z31" i="1"/>
  <c r="Y31" i="1"/>
  <c r="S31" i="1"/>
  <c r="U33" i="1"/>
  <c r="AC40" i="1"/>
  <c r="X36" i="1"/>
  <c r="K34" i="1"/>
  <c r="P36" i="1"/>
  <c r="G33" i="1"/>
  <c r="V39" i="1"/>
  <c r="AC39" i="1"/>
  <c r="I34" i="1"/>
  <c r="P40" i="1"/>
  <c r="C33" i="1"/>
  <c r="T37" i="1"/>
  <c r="AD37" i="1"/>
  <c r="I33" i="1"/>
  <c r="AC33" i="1"/>
  <c r="Q36" i="1"/>
  <c r="G40" i="1"/>
  <c r="AA37" i="1"/>
  <c r="Z37" i="1"/>
  <c r="Y37" i="1"/>
  <c r="X37" i="1"/>
  <c r="Q40" i="1"/>
  <c r="S39" i="1"/>
  <c r="P39" i="1"/>
  <c r="L40" i="1"/>
  <c r="E34" i="1"/>
  <c r="D34" i="1"/>
  <c r="C34" i="1"/>
  <c r="Y34" i="1"/>
  <c r="AC34" i="1"/>
  <c r="AD40" i="1"/>
  <c r="M33" i="1"/>
  <c r="Z33" i="1"/>
  <c r="AD33" i="1"/>
  <c r="V33" i="1"/>
  <c r="AD35" i="1"/>
  <c r="R35" i="1"/>
  <c r="F35" i="1"/>
  <c r="P35" i="1"/>
  <c r="AC35" i="1"/>
  <c r="Q35" i="1"/>
  <c r="E35" i="1"/>
  <c r="AB35" i="1"/>
  <c r="D35" i="1"/>
  <c r="O35" i="1"/>
  <c r="K35" i="1"/>
  <c r="N35" i="1"/>
  <c r="M35" i="1"/>
  <c r="AA35" i="1"/>
  <c r="L35" i="1"/>
  <c r="Z35" i="1"/>
  <c r="X35" i="1"/>
  <c r="W35" i="1"/>
  <c r="C35" i="1"/>
  <c r="B35" i="1"/>
  <c r="V35" i="1"/>
  <c r="T35" i="1"/>
  <c r="E8" i="1" a="1"/>
  <c r="E8" i="1" s="1"/>
  <c r="H35" i="1"/>
  <c r="G35" i="1"/>
  <c r="U35" i="1"/>
  <c r="S35" i="1"/>
  <c r="J35" i="1"/>
  <c r="I35" i="1"/>
  <c r="Y35" i="1"/>
  <c r="I39" i="1"/>
  <c r="H34" i="1"/>
  <c r="K37" i="1"/>
  <c r="Q37" i="1"/>
  <c r="H33" i="1"/>
  <c r="AB40" i="1"/>
  <c r="AB36" i="1"/>
  <c r="Z36" i="1"/>
  <c r="AA36" i="1"/>
  <c r="E36" i="1"/>
  <c r="C40" i="1"/>
  <c r="W36" i="1"/>
  <c r="X38" i="1"/>
  <c r="L38" i="1"/>
  <c r="V38" i="1"/>
  <c r="W38" i="1"/>
  <c r="K38" i="1"/>
  <c r="J38" i="1"/>
  <c r="U38" i="1"/>
  <c r="F38" i="1"/>
  <c r="Q38" i="1"/>
  <c r="P38" i="1"/>
  <c r="T38" i="1"/>
  <c r="E38" i="1"/>
  <c r="S38" i="1"/>
  <c r="D38" i="1"/>
  <c r="R38" i="1"/>
  <c r="C38" i="1"/>
  <c r="B38" i="1"/>
  <c r="Y38" i="1"/>
  <c r="O38" i="1"/>
  <c r="AA38" i="1"/>
  <c r="N38" i="1"/>
  <c r="I38" i="1"/>
  <c r="AD38" i="1"/>
  <c r="AC38" i="1"/>
  <c r="M38" i="1"/>
  <c r="H38" i="1"/>
  <c r="G38" i="1"/>
  <c r="E11" i="1" a="1"/>
  <c r="E11" i="1" s="1"/>
  <c r="AB38" i="1"/>
  <c r="Z38" i="1"/>
  <c r="L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<sst xmlns="http://schemas.openxmlformats.org/spreadsheetml/2006/main" count="20" uniqueCount="20">
  <si>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Ladder set up in:</t>
  </si>
  <si>
    <t>Current time:</t>
  </si>
  <si>
    <t>Segment</t>
  </si>
  <si>
    <t>Allocation</t>
  </si>
  <si>
    <t>Years to maturity</t>
  </si>
  <si>
    <t>Current time</t>
  </si>
  <si>
    <t>Start of accrual</t>
  </si>
  <si>
    <t>Accrual period</t>
  </si>
  <si>
    <t>1Y AAA NBFC</t>
  </si>
  <si>
    <t>2Y AAA NBFC</t>
  </si>
  <si>
    <t>3Y AAA NBFC</t>
  </si>
  <si>
    <t>4Y AAA NBFC</t>
  </si>
  <si>
    <t>1Y AA Corporate</t>
  </si>
  <si>
    <t>2Y AA Corporate</t>
  </si>
  <si>
    <t>1Y AAA Corporate</t>
  </si>
  <si>
    <t>2Y AAA Corporate</t>
  </si>
  <si>
    <t>3Y AAA Corporate</t>
  </si>
  <si>
    <t>4Y AAA Corporate</t>
  </si>
  <si>
    <t>5Y AAA Corporate</t>
  </si>
  <si>
    <t>Investment juncture?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</si>
</sst>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\ #,##0;[Red]&quot;₹&quot;\ \-#,##0"/>
    <numFmt numFmtId="164" formatCode="0;[Red]\-0;\-"/>
  </numFmts>
  <fonts count="6" x14ac:knownFonts="1">
    <font>
      <sz val="10"/>
      <color theme="1"/>
      <name val="Trebuchet MS"/>
      <family val="2"/>
    </font>
    <font>
      <b/>
      <sz val="9"/>
      <color theme="1"/>
      <name val="Trebuchet MS"/>
      <family val="2"/>
    </font>
    <font>
      <sz val="9"/>
      <color theme="1"/>
      <name val="Calibri"/>
      <family val="2"/>
      <scheme val="minor"/>
    </font>
    <font>
      <sz val="9"/>
      <color theme="1"/>
      <name val="Trebuchet MS"/>
      <family val="2"/>
    </font>
    <font>
      <sz val="9"/>
      <color rgb="FF0070C0"/>
      <name val="Trebuchet MS"/>
      <family val="2"/>
    </font>
    <font>
      <b/>
      <sz val="9"/>
      <color rgb="FF0070C0"/>
      <name val="Trebuchet MS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</borders>
  <cellStyleXfs count="1">
    <xf numFmtId="0" fontId="0" fillId="0" borderId="0"/>
  </cellStyleXfs>
  <cellXfs count="23">
    <xf numFmtId="0" fontId="0" fillId="0" borderId="0" xfId="0"/>
    <xf numFmtId="6" fontId="1" fillId="0" borderId="0" xfId="0" applyNumberFormat="1" applyFont="1" applyAlignment="1">
      <alignment horizontal="right" vertical="top" indent="1"/>
    </xf>
    <xf numFmtId="0" fontId="1" fillId="0" borderId="0" xfId="0" applyFont="1" applyAlignment="1">
      <alignment horizontal="right" vertical="top" indent="1"/>
    </xf>
    <xf numFmtId="0" fontId="2" fillId="0" borderId="0" xfId="0" applyFont="1"/>
    <xf numFmtId="6" fontId="1" fillId="0" borderId="0" xfId="0" applyNumberFormat="1" applyFont="1" applyAlignment="1">
      <alignment horizontal="left" vertical="top" indent="1"/>
    </xf>
    <xf numFmtId="9" fontId="1" fillId="0" borderId="0" xfId="0" applyNumberFormat="1" applyFont="1" applyAlignment="1">
      <alignment horizontal="left" vertical="top" indent="1"/>
    </xf>
    <xf numFmtId="0" fontId="3" fillId="0" borderId="0" xfId="0" applyFont="1" applyAlignment="1">
      <alignment horizontal="right" vertical="top" wrapText="1" indent="1"/>
    </xf>
    <xf numFmtId="6" fontId="1" fillId="0" borderId="0" xfId="0" applyNumberFormat="1" applyFont="1" applyAlignment="1">
      <alignment horizontal="left" vertical="center" indent="1"/>
    </xf>
    <xf numFmtId="10" fontId="3" fillId="0" borderId="0" xfId="0" applyNumberFormat="1" applyFont="1" applyAlignment="1">
      <alignment horizontal="right" vertical="center" indent="1"/>
    </xf>
    <xf numFmtId="0" fontId="3" fillId="0" borderId="0" xfId="0" applyFont="1" applyAlignment="1">
      <alignment horizontal="right" vertical="center" indent="1"/>
    </xf>
    <xf numFmtId="0" fontId="3" fillId="0" borderId="0" xfId="0" applyFont="1"/>
    <xf numFmtId="9" fontId="1" fillId="0" borderId="1" xfId="0" applyNumberFormat="1" applyFont="1" applyBorder="1" applyAlignment="1">
      <alignment horizontal="right" vertical="center" indent="1"/>
    </xf>
    <xf numFmtId="0" fontId="4" fillId="0" borderId="2" xfId="0" applyFont="1" applyBorder="1" applyAlignment="1">
      <alignment horizontal="right" vertical="center" indent="1"/>
    </xf>
    <xf numFmtId="0" fontId="4" fillId="0" borderId="3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right" vertical="center" indent="1"/>
    </xf>
    <xf numFmtId="0" fontId="4" fillId="0" borderId="0" xfId="0" applyFont="1" applyAlignment="1">
      <alignment horizontal="right" vertical="center" indent="1"/>
    </xf>
    <xf numFmtId="0" fontId="4" fillId="0" borderId="4" xfId="0" applyFont="1" applyBorder="1" applyAlignment="1">
      <alignment horizontal="right" vertical="center" indent="1"/>
    </xf>
    <xf numFmtId="0" fontId="4" fillId="0" borderId="5" xfId="0" applyFont="1" applyBorder="1" applyAlignment="1">
      <alignment horizontal="right" vertical="center" indent="1"/>
    </xf>
    <xf numFmtId="0" fontId="4" fillId="0" borderId="6" xfId="0" applyFont="1" applyBorder="1" applyAlignment="1">
      <alignment horizontal="right" vertical="center" indent="1"/>
    </xf>
    <xf numFmtId="0" fontId="4" fillId="0" borderId="7" xfId="0" applyFont="1" applyBorder="1" applyAlignment="1">
      <alignment horizontal="right" vertical="center" indent="1"/>
    </xf>
    <xf numFmtId="164" fontId="5" fillId="0" borderId="0" xfId="0" applyNumberFormat="1" applyFont="1" applyAlignment="1">
      <alignment horizontal="left" vertical="center" indent="1"/>
    </xf>
    <xf numFmtId="0" fontId="5" fillId="0" borderId="0" xfId="0" applyFont="1" applyAlignment="1">
      <alignment horizontal="right" vertical="top" indent="1"/>
    </xf>
    <xf numFmtId="164" fontId="4" fillId="0" borderId="0" xfId="0" applyNumberFormat="1" applyFont="1" applyAlignment="1">
      <alignment horizontal="righ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Sheet1!$B$2</c:f>
          <c:strCache>
            <c:ptCount val="1"/>
            <c:pt idx="0">
              <c:v>2024</c:v>
            </c:pt>
          </c:strCache>
        </c:strRef>
      </c:tx>
      <c:layout>
        <c:manualLayout>
          <c:xMode val="edge"/>
          <c:yMode val="edge"/>
          <c:x val="3.050571092406552E-2"/>
          <c:y val="0.82940789078933386"/>
        </c:manualLayout>
      </c:layout>
      <c:overlay val="0"/>
      <c:spPr>
        <a:solidFill>
          <a:sysClr val="window" lastClr="FFFFFF"/>
        </a:solidFill>
        <a:ln>
          <a:solidFill>
            <a:schemeClr val="bg2">
              <a:lumMod val="9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24556068422481"/>
          <c:y val="2.7608507280783946E-2"/>
          <c:w val="0.79541721422753187"/>
          <c:h val="0.78673083411939349"/>
        </c:manualLayout>
      </c:layout>
      <c:barChart>
        <c:barDir val="bar"/>
        <c:grouping val="stacked"/>
        <c:varyColors val="0"/>
        <c:ser>
          <c:idx val="1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Sheet1!$E$4:$E$14</c:f>
              <c:numCache>
                <c:formatCode>General</c:formatCode>
                <c:ptCount val="11"/>
                <c:pt idx="0">
                  <c:v>2024</c:v>
                </c:pt>
                <c:pt idx="1">
                  <c:v>2024</c:v>
                </c:pt>
                <c:pt idx="2">
                  <c:v>2022</c:v>
                </c:pt>
                <c:pt idx="3">
                  <c:v>2022</c:v>
                </c:pt>
                <c:pt idx="4">
                  <c:v>2024</c:v>
                </c:pt>
                <c:pt idx="5">
                  <c:v>2024</c:v>
                </c:pt>
                <c:pt idx="6">
                  <c:v>2024</c:v>
                </c:pt>
                <c:pt idx="7">
                  <c:v>2024</c:v>
                </c:pt>
                <c:pt idx="8">
                  <c:v>2022</c:v>
                </c:pt>
                <c:pt idx="9">
                  <c:v>2022</c:v>
                </c:pt>
                <c:pt idx="10">
                  <c:v>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9-4657-AE68-5108FA9BCDCA}"/>
            </c:ext>
          </c:extLst>
        </c:ser>
        <c:ser>
          <c:idx val="0"/>
          <c:order val="1"/>
          <c:tx>
            <c:strRef>
              <c:f>Sheet1!$F$3</c:f>
              <c:strCache>
                <c:ptCount val="1"/>
                <c:pt idx="0">
                  <c:v>Accrual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Sheet1!$C$4:$C$14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9-4657-AE68-5108FA9BC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871617743"/>
        <c:axId val="1412469823"/>
      </c:barChart>
      <c:catAx>
        <c:axId val="187161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412469823"/>
        <c:crosses val="autoZero"/>
        <c:auto val="1"/>
        <c:lblAlgn val="ctr"/>
        <c:lblOffset val="100"/>
        <c:noMultiLvlLbl val="0"/>
      </c:catAx>
      <c:valAx>
        <c:axId val="1412469823"/>
        <c:scaling>
          <c:orientation val="minMax"/>
          <c:max val="2055"/>
          <c:min val="20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rebuchet MS" panose="020B0603020202020204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7161774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8.4021359399040624E-3"/>
          <c:y val="0.90475841128953305"/>
          <c:w val="0.16403859172775814"/>
          <c:h val="7.60031691937960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ebuchet MS" panose="020B0603020202020204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Trebuchet MS" panose="020B0603020202020204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18</xdr:col>
      <xdr:colOff>230188</xdr:colOff>
      <xdr:row>24</xdr:row>
      <xdr:rowOff>30256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65CACF-A7AD-43DE-9E21-6B7CF0A36E1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5C1F7-F9FD-4A5B-B4E1-90373A760477}">
  <sheetPr codeName="Sheet1"/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3.5" x14ac:dyDescent="0.35"/>
  <cols>
    <col min="1" max="1" width="43.69921875" bestFit="1" customWidth="1"/>
    <col min="2" max="2" width="11.796875" customWidth="1"/>
    <col min="3" max="6" width="10.69921875" customWidth="1"/>
  </cols>
  <sheetData>
    <row r="1" spans="1:6" x14ac:dyDescent="0.35">
      <c r="A1" s="1" t="s">
        <v>0</v>
      </c>
      <c r="B1" s="2">
        <v>2022</v>
      </c>
      <c r="C1" s="3"/>
      <c r="D1" s="3"/>
      <c r="E1" s="3"/>
      <c r="F1" s="3"/>
    </row>
    <row r="2" spans="1:6" x14ac:dyDescent="0.35">
      <c r="A2" s="1" t="s">
        <v>1</v>
      </c>
      <c r="B2" s="2">
        <v>2024</v>
      </c>
      <c r="C2" s="3"/>
      <c r="D2" s="2"/>
      <c r="E2" s="3"/>
      <c r="F2" s="3"/>
    </row>
    <row r="3" spans="1:6" ht="24" x14ac:dyDescent="0.35">
      <c r="A3" s="4" t="s">
        <v>2</v>
      </c>
      <c r="B3" s="5" t="s">
        <v>3</v>
      </c>
      <c r="C3" s="6" t="s">
        <v>4</v>
      </c>
      <c r="D3" s="6" t="s">
        <v>5</v>
      </c>
      <c r="E3" s="6" t="s">
        <v>6</v>
      </c>
      <c r="F3" s="6" t="s">
        <v>7</v>
      </c>
    </row>
    <row r="4" spans="1:6" x14ac:dyDescent="0.35">
      <c r="A4" s="7" t="s">
        <v>8</v>
      </c>
      <c r="B4" s="8">
        <v>0.16250000000000001</v>
      </c>
      <c r="C4" s="9">
        <f t="shared" ref="C4:C14" si="0">LEFT(A4,1)*1</f>
        <v>1</v>
      </c>
      <c r="D4" s="9">
        <f>$B$2</f>
        <v>2024</v>
      </c>
      <c r="E4" s="9" cm="1">
        <f t="array" ref="E4">IF(NOT(ISNA(MATCH($B$2,$B18:$AF18,0))),INDEX($B18:$AF18,1,MATCH($B$2,$B18:$AF18,0)),INDEX($B18:$AF18,1,MATCH(0,--($B18:$AF18&lt;$B$2),0)-1))</f>
        <v>2024</v>
      </c>
      <c r="F4" s="9">
        <f t="shared" ref="F4:F14" si="1">D4+C4</f>
        <v>2025</v>
      </c>
    </row>
    <row r="5" spans="1:6" x14ac:dyDescent="0.35">
      <c r="A5" s="7" t="s">
        <v>9</v>
      </c>
      <c r="B5" s="8">
        <v>0.16250000000000001</v>
      </c>
      <c r="C5" s="9">
        <f t="shared" si="0"/>
        <v>2</v>
      </c>
      <c r="D5" s="9">
        <f t="shared" ref="D5:D14" si="2">$B$2</f>
        <v>2024</v>
      </c>
      <c r="E5" s="9" cm="1">
        <f t="array" ref="E5">IF(NOT(ISNA(MATCH($B$2,$B19:$AF19,0))),INDEX($B19:$AF19,1,MATCH($B$2,$B19:$AF19,0)),INDEX($B19:$AF19,1,MATCH(0,--($B19:$AF19&lt;$B$2),0)-1))</f>
        <v>2024</v>
      </c>
      <c r="F5" s="9">
        <f t="shared" si="1"/>
        <v>2026</v>
      </c>
    </row>
    <row r="6" spans="1:6" x14ac:dyDescent="0.35">
      <c r="A6" s="7" t="s">
        <v>10</v>
      </c>
      <c r="B6" s="8">
        <v>0.16250000000000001</v>
      </c>
      <c r="C6" s="9">
        <f t="shared" si="0"/>
        <v>3</v>
      </c>
      <c r="D6" s="9">
        <f t="shared" si="2"/>
        <v>2024</v>
      </c>
      <c r="E6" s="9" cm="1">
        <f t="array" ref="E6">IF(NOT(ISNA(MATCH($B$2,$B20:$AF20,0))),INDEX($B20:$AF20,1,MATCH($B$2,$B20:$AF20,0)),INDEX($B20:$AF20,1,MATCH(0,--($B20:$AF20&lt;$B$2),0)-1))</f>
        <v>2022</v>
      </c>
      <c r="F6" s="9">
        <f t="shared" si="1"/>
        <v>2027</v>
      </c>
    </row>
    <row r="7" spans="1:6" x14ac:dyDescent="0.35">
      <c r="A7" s="7" t="s">
        <v>11</v>
      </c>
      <c r="B7" s="8">
        <v>0.16250000000000001</v>
      </c>
      <c r="C7" s="9">
        <f t="shared" si="0"/>
        <v>4</v>
      </c>
      <c r="D7" s="9">
        <f t="shared" si="2"/>
        <v>2024</v>
      </c>
      <c r="E7" s="9" cm="1">
        <f t="array" ref="E7">IF(NOT(ISNA(MATCH($B$2,$B21:$AF21,0))),INDEX($B21:$AF21,1,MATCH($B$2,$B21:$AF21,0)),INDEX($B21:$AF21,1,MATCH(0,--($B21:$AF21&lt;$B$2),0)-1))</f>
        <v>2022</v>
      </c>
      <c r="F7" s="9">
        <f t="shared" si="1"/>
        <v>2028</v>
      </c>
    </row>
    <row r="8" spans="1:6" x14ac:dyDescent="0.35">
      <c r="A8" s="7" t="s">
        <v>12</v>
      </c>
      <c r="B8" s="8">
        <v>7.0000000000000007E-2</v>
      </c>
      <c r="C8" s="9">
        <f t="shared" si="0"/>
        <v>1</v>
      </c>
      <c r="D8" s="9">
        <f t="shared" si="2"/>
        <v>2024</v>
      </c>
      <c r="E8" s="9" cm="1">
        <f t="array" ref="E8">IF(NOT(ISNA(MATCH($B$2,$B22:$AF22,0))),INDEX($B22:$AF22,1,MATCH($B$2,$B22:$AF22,0)),INDEX($B22:$AF22,1,MATCH(0,--($B22:$AF22&lt;$B$2),0)-1))</f>
        <v>2024</v>
      </c>
      <c r="F8" s="9">
        <f t="shared" si="1"/>
        <v>2025</v>
      </c>
    </row>
    <row r="9" spans="1:6" x14ac:dyDescent="0.35">
      <c r="A9" s="7" t="s">
        <v>13</v>
      </c>
      <c r="B9" s="8">
        <v>7.0000000000000007E-2</v>
      </c>
      <c r="C9" s="9">
        <f t="shared" si="0"/>
        <v>2</v>
      </c>
      <c r="D9" s="9">
        <f t="shared" si="2"/>
        <v>2024</v>
      </c>
      <c r="E9" s="9" cm="1">
        <f t="array" ref="E9">IF(NOT(ISNA(MATCH($B$2,$B23:$AF23,0))),INDEX($B23:$AF23,1,MATCH($B$2,$B23:$AF23,0)),INDEX($B23:$AF23,1,MATCH(0,--($B23:$AF23&lt;$B$2),0)-1))</f>
        <v>2024</v>
      </c>
      <c r="F9" s="9">
        <f t="shared" si="1"/>
        <v>2026</v>
      </c>
    </row>
    <row r="10" spans="1:6" x14ac:dyDescent="0.35">
      <c r="A10" s="7" t="s">
        <v>14</v>
      </c>
      <c r="B10" s="8">
        <v>4.2000000000000003E-2</v>
      </c>
      <c r="C10" s="9">
        <f t="shared" si="0"/>
        <v>1</v>
      </c>
      <c r="D10" s="9">
        <f t="shared" si="2"/>
        <v>2024</v>
      </c>
      <c r="E10" s="9" cm="1">
        <f t="array" ref="E10">IF(NOT(ISNA(MATCH($B$2,$B24:$AF24,0))),INDEX($B24:$AF24,1,MATCH($B$2,$B24:$AF24,0)),INDEX($B24:$AF24,1,MATCH(0,--($B24:$AF24&lt;$B$2),0)-1))</f>
        <v>2024</v>
      </c>
      <c r="F10" s="9">
        <f t="shared" si="1"/>
        <v>2025</v>
      </c>
    </row>
    <row r="11" spans="1:6" x14ac:dyDescent="0.35">
      <c r="A11" s="7" t="s">
        <v>15</v>
      </c>
      <c r="B11" s="8">
        <v>4.2000000000000003E-2</v>
      </c>
      <c r="C11" s="9">
        <f t="shared" si="0"/>
        <v>2</v>
      </c>
      <c r="D11" s="9">
        <f t="shared" si="2"/>
        <v>2024</v>
      </c>
      <c r="E11" s="9" cm="1">
        <f t="array" ref="E11">IF(NOT(ISNA(MATCH($B$2,$B25:$AF25,0))),INDEX($B25:$AF25,1,MATCH($B$2,$B25:$AF25,0)),INDEX($B25:$AF25,1,MATCH(0,--($B25:$AF25&lt;$B$2),0)-1))</f>
        <v>2024</v>
      </c>
      <c r="F11" s="9">
        <f t="shared" si="1"/>
        <v>2026</v>
      </c>
    </row>
    <row r="12" spans="1:6" x14ac:dyDescent="0.35">
      <c r="A12" s="7" t="s">
        <v>16</v>
      </c>
      <c r="B12" s="8">
        <v>4.2000000000000003E-2</v>
      </c>
      <c r="C12" s="9">
        <f t="shared" si="0"/>
        <v>3</v>
      </c>
      <c r="D12" s="9">
        <f t="shared" si="2"/>
        <v>2024</v>
      </c>
      <c r="E12" s="9" cm="1">
        <f t="array" ref="E12">IF(NOT(ISNA(MATCH($B$2,$B26:$AF26,0))),INDEX($B26:$AF26,1,MATCH($B$2,$B26:$AF26,0)),INDEX($B26:$AF26,1,MATCH(0,--($B26:$AF26&lt;$B$2),0)-1))</f>
        <v>2022</v>
      </c>
      <c r="F12" s="9">
        <f t="shared" si="1"/>
        <v>2027</v>
      </c>
    </row>
    <row r="13" spans="1:6" x14ac:dyDescent="0.35">
      <c r="A13" s="7" t="s">
        <v>17</v>
      </c>
      <c r="B13" s="8">
        <v>4.2000000000000003E-2</v>
      </c>
      <c r="C13" s="9">
        <f t="shared" si="0"/>
        <v>4</v>
      </c>
      <c r="D13" s="9">
        <f t="shared" si="2"/>
        <v>2024</v>
      </c>
      <c r="E13" s="9" cm="1">
        <f t="array" ref="E13">IF(NOT(ISNA(MATCH($B$2,$B27:$AF27,0))),INDEX($B27:$AF27,1,MATCH($B$2,$B27:$AF27,0)),INDEX($B27:$AF27,1,MATCH(0,--($B27:$AF27&lt;$B$2),0)-1))</f>
        <v>2022</v>
      </c>
      <c r="F13" s="9">
        <f t="shared" si="1"/>
        <v>2028</v>
      </c>
    </row>
    <row r="14" spans="1:6" x14ac:dyDescent="0.35">
      <c r="A14" s="7" t="s">
        <v>18</v>
      </c>
      <c r="B14" s="8">
        <v>4.2000000000000003E-2</v>
      </c>
      <c r="C14" s="9">
        <f t="shared" si="0"/>
        <v>5</v>
      </c>
      <c r="D14" s="9">
        <f t="shared" si="2"/>
        <v>2024</v>
      </c>
      <c r="E14" s="9" cm="1">
        <f t="array" ref="E14">IF(NOT(ISNA(MATCH($B$2,$B28:$AF28,0))),INDEX($B28:$AF28,1,MATCH($B$2,$B28:$AF28,0)),INDEX($B28:$AF28,1,MATCH(0,--($B28:$AF28&lt;$B$2),0)-1))</f>
        <v>2022</v>
      </c>
      <c r="F14" s="9">
        <f t="shared" si="1"/>
        <v>2029</v>
      </c>
    </row>
    <row r="15" spans="1:6" ht="14" thickBot="1" x14ac:dyDescent="0.4">
      <c r="A15" s="10"/>
      <c r="B15" s="11">
        <f>SUM(B4:B14)</f>
        <v>1.0000000000000002</v>
      </c>
      <c r="C15" s="10"/>
      <c r="D15" s="10"/>
      <c r="E15" s="10"/>
      <c r="F15" s="3"/>
    </row>
    <row r="16" spans="1:6" ht="14" thickTop="1" x14ac:dyDescent="0.35"/>
    <row r="17" spans="1:32" x14ac:dyDescent="0.35">
      <c r="B17" s="12">
        <v>0</v>
      </c>
      <c r="C17" s="12">
        <v>1</v>
      </c>
      <c r="D17" s="12">
        <v>2</v>
      </c>
      <c r="E17" s="12">
        <v>3</v>
      </c>
      <c r="F17" s="12">
        <v>4</v>
      </c>
      <c r="G17" s="12">
        <v>5</v>
      </c>
      <c r="H17" s="12">
        <v>6</v>
      </c>
      <c r="I17" s="12">
        <v>7</v>
      </c>
      <c r="J17" s="12">
        <v>8</v>
      </c>
      <c r="K17" s="12">
        <v>9</v>
      </c>
      <c r="L17" s="12">
        <v>10</v>
      </c>
      <c r="M17" s="12">
        <v>11</v>
      </c>
      <c r="N17" s="12">
        <v>12</v>
      </c>
      <c r="O17" s="12">
        <v>13</v>
      </c>
      <c r="P17" s="12">
        <v>14</v>
      </c>
      <c r="Q17" s="12">
        <v>15</v>
      </c>
      <c r="R17" s="12">
        <v>16</v>
      </c>
      <c r="S17" s="12">
        <v>17</v>
      </c>
      <c r="T17" s="12">
        <v>18</v>
      </c>
      <c r="U17" s="12">
        <v>19</v>
      </c>
      <c r="V17" s="12">
        <v>20</v>
      </c>
      <c r="W17" s="12">
        <v>21</v>
      </c>
      <c r="X17" s="12">
        <v>22</v>
      </c>
      <c r="Y17" s="12">
        <v>23</v>
      </c>
      <c r="Z17" s="12">
        <v>24</v>
      </c>
      <c r="AA17" s="12">
        <v>25</v>
      </c>
      <c r="AB17" s="12">
        <v>26</v>
      </c>
      <c r="AC17" s="12">
        <v>27</v>
      </c>
      <c r="AD17" s="12">
        <v>28</v>
      </c>
      <c r="AE17" s="12">
        <v>29</v>
      </c>
      <c r="AF17" s="12">
        <v>30</v>
      </c>
    </row>
    <row r="18" spans="1:32" x14ac:dyDescent="0.35">
      <c r="A18" s="13" t="str">
        <f t="shared" ref="A18:A28" si="3">A4</f>
        <v>1Y AAA NBFC</v>
      </c>
      <c r="B18" s="14">
        <f t="shared" ref="B18:AF26" si="4">B$17*$C4+$B$1</f>
        <v>2022</v>
      </c>
      <c r="C18" s="15">
        <f t="shared" si="4"/>
        <v>2023</v>
      </c>
      <c r="D18" s="15">
        <f t="shared" si="4"/>
        <v>2024</v>
      </c>
      <c r="E18" s="15">
        <f t="shared" si="4"/>
        <v>2025</v>
      </c>
      <c r="F18" s="15">
        <f t="shared" si="4"/>
        <v>2026</v>
      </c>
      <c r="G18" s="15">
        <f t="shared" si="4"/>
        <v>2027</v>
      </c>
      <c r="H18" s="15">
        <f t="shared" si="4"/>
        <v>2028</v>
      </c>
      <c r="I18" s="15">
        <f t="shared" si="4"/>
        <v>2029</v>
      </c>
      <c r="J18" s="15">
        <f t="shared" si="4"/>
        <v>2030</v>
      </c>
      <c r="K18" s="15">
        <f t="shared" si="4"/>
        <v>2031</v>
      </c>
      <c r="L18" s="15">
        <f t="shared" si="4"/>
        <v>2032</v>
      </c>
      <c r="M18" s="15">
        <f t="shared" si="4"/>
        <v>2033</v>
      </c>
      <c r="N18" s="15">
        <f t="shared" si="4"/>
        <v>2034</v>
      </c>
      <c r="O18" s="15">
        <f t="shared" si="4"/>
        <v>2035</v>
      </c>
      <c r="P18" s="15">
        <f t="shared" si="4"/>
        <v>2036</v>
      </c>
      <c r="Q18" s="15">
        <f t="shared" si="4"/>
        <v>2037</v>
      </c>
      <c r="R18" s="15">
        <f t="shared" si="4"/>
        <v>2038</v>
      </c>
      <c r="S18" s="15">
        <f t="shared" si="4"/>
        <v>2039</v>
      </c>
      <c r="T18" s="15">
        <f t="shared" si="4"/>
        <v>2040</v>
      </c>
      <c r="U18" s="15">
        <f t="shared" si="4"/>
        <v>2041</v>
      </c>
      <c r="V18" s="15">
        <f t="shared" si="4"/>
        <v>2042</v>
      </c>
      <c r="W18" s="15">
        <f t="shared" si="4"/>
        <v>2043</v>
      </c>
      <c r="X18" s="15">
        <f t="shared" si="4"/>
        <v>2044</v>
      </c>
      <c r="Y18" s="15">
        <f t="shared" si="4"/>
        <v>2045</v>
      </c>
      <c r="Z18" s="15">
        <f t="shared" si="4"/>
        <v>2046</v>
      </c>
      <c r="AA18" s="15">
        <f t="shared" si="4"/>
        <v>2047</v>
      </c>
      <c r="AB18" s="15">
        <f t="shared" si="4"/>
        <v>2048</v>
      </c>
      <c r="AC18" s="15">
        <f t="shared" si="4"/>
        <v>2049</v>
      </c>
      <c r="AD18" s="15">
        <f t="shared" si="4"/>
        <v>2050</v>
      </c>
      <c r="AE18" s="15">
        <f t="shared" si="4"/>
        <v>2051</v>
      </c>
      <c r="AF18" s="16">
        <f t="shared" si="4"/>
        <v>2052</v>
      </c>
    </row>
    <row r="19" spans="1:32" x14ac:dyDescent="0.35">
      <c r="A19" s="13" t="str">
        <f t="shared" si="3"/>
        <v>2Y AAA NBFC</v>
      </c>
      <c r="B19" s="14">
        <f t="shared" si="4"/>
        <v>2022</v>
      </c>
      <c r="C19" s="15">
        <f t="shared" si="4"/>
        <v>2024</v>
      </c>
      <c r="D19" s="15">
        <f t="shared" si="4"/>
        <v>2026</v>
      </c>
      <c r="E19" s="15">
        <f t="shared" si="4"/>
        <v>2028</v>
      </c>
      <c r="F19" s="15">
        <f t="shared" si="4"/>
        <v>2030</v>
      </c>
      <c r="G19" s="15">
        <f t="shared" si="4"/>
        <v>2032</v>
      </c>
      <c r="H19" s="15">
        <f t="shared" si="4"/>
        <v>2034</v>
      </c>
      <c r="I19" s="15">
        <f t="shared" si="4"/>
        <v>2036</v>
      </c>
      <c r="J19" s="15">
        <f t="shared" si="4"/>
        <v>2038</v>
      </c>
      <c r="K19" s="15">
        <f t="shared" si="4"/>
        <v>2040</v>
      </c>
      <c r="L19" s="15">
        <f t="shared" si="4"/>
        <v>2042</v>
      </c>
      <c r="M19" s="15">
        <f t="shared" si="4"/>
        <v>2044</v>
      </c>
      <c r="N19" s="15">
        <f t="shared" si="4"/>
        <v>2046</v>
      </c>
      <c r="O19" s="15">
        <f t="shared" si="4"/>
        <v>2048</v>
      </c>
      <c r="P19" s="15">
        <f t="shared" si="4"/>
        <v>2050</v>
      </c>
      <c r="Q19" s="15">
        <f t="shared" si="4"/>
        <v>2052</v>
      </c>
      <c r="R19" s="15">
        <f t="shared" si="4"/>
        <v>2054</v>
      </c>
      <c r="S19" s="15">
        <f t="shared" si="4"/>
        <v>2056</v>
      </c>
      <c r="T19" s="15">
        <f t="shared" si="4"/>
        <v>2058</v>
      </c>
      <c r="U19" s="15">
        <f t="shared" si="4"/>
        <v>2060</v>
      </c>
      <c r="V19" s="15">
        <f t="shared" si="4"/>
        <v>2062</v>
      </c>
      <c r="W19" s="15">
        <f t="shared" si="4"/>
        <v>2064</v>
      </c>
      <c r="X19" s="15">
        <f t="shared" si="4"/>
        <v>2066</v>
      </c>
      <c r="Y19" s="15">
        <f t="shared" si="4"/>
        <v>2068</v>
      </c>
      <c r="Z19" s="15">
        <f t="shared" si="4"/>
        <v>2070</v>
      </c>
      <c r="AA19" s="15">
        <f t="shared" si="4"/>
        <v>2072</v>
      </c>
      <c r="AB19" s="15">
        <f t="shared" si="4"/>
        <v>2074</v>
      </c>
      <c r="AC19" s="15">
        <f t="shared" si="4"/>
        <v>2076</v>
      </c>
      <c r="AD19" s="15">
        <f t="shared" si="4"/>
        <v>2078</v>
      </c>
      <c r="AE19" s="15">
        <f t="shared" si="4"/>
        <v>2080</v>
      </c>
      <c r="AF19" s="16">
        <f t="shared" si="4"/>
        <v>2082</v>
      </c>
    </row>
    <row r="20" spans="1:32" x14ac:dyDescent="0.35">
      <c r="A20" s="13" t="str">
        <f t="shared" si="3"/>
        <v>3Y AAA NBFC</v>
      </c>
      <c r="B20" s="14">
        <f t="shared" si="4"/>
        <v>2022</v>
      </c>
      <c r="C20" s="15">
        <f t="shared" si="4"/>
        <v>2025</v>
      </c>
      <c r="D20" s="15">
        <f t="shared" si="4"/>
        <v>2028</v>
      </c>
      <c r="E20" s="15">
        <f t="shared" si="4"/>
        <v>2031</v>
      </c>
      <c r="F20" s="15">
        <f t="shared" si="4"/>
        <v>2034</v>
      </c>
      <c r="G20" s="15">
        <f t="shared" si="4"/>
        <v>2037</v>
      </c>
      <c r="H20" s="15">
        <f t="shared" si="4"/>
        <v>2040</v>
      </c>
      <c r="I20" s="15">
        <f t="shared" si="4"/>
        <v>2043</v>
      </c>
      <c r="J20" s="15">
        <f t="shared" si="4"/>
        <v>2046</v>
      </c>
      <c r="K20" s="15">
        <f t="shared" si="4"/>
        <v>2049</v>
      </c>
      <c r="L20" s="15">
        <f t="shared" si="4"/>
        <v>2052</v>
      </c>
      <c r="M20" s="15">
        <f t="shared" si="4"/>
        <v>2055</v>
      </c>
      <c r="N20" s="15">
        <f t="shared" si="4"/>
        <v>2058</v>
      </c>
      <c r="O20" s="15">
        <f t="shared" si="4"/>
        <v>2061</v>
      </c>
      <c r="P20" s="15">
        <f t="shared" si="4"/>
        <v>2064</v>
      </c>
      <c r="Q20" s="15">
        <f t="shared" si="4"/>
        <v>2067</v>
      </c>
      <c r="R20" s="15">
        <f t="shared" si="4"/>
        <v>2070</v>
      </c>
      <c r="S20" s="15">
        <f t="shared" si="4"/>
        <v>2073</v>
      </c>
      <c r="T20" s="15">
        <f t="shared" si="4"/>
        <v>2076</v>
      </c>
      <c r="U20" s="15">
        <f t="shared" si="4"/>
        <v>2079</v>
      </c>
      <c r="V20" s="15">
        <f t="shared" si="4"/>
        <v>2082</v>
      </c>
      <c r="W20" s="15">
        <f t="shared" si="4"/>
        <v>2085</v>
      </c>
      <c r="X20" s="15">
        <f t="shared" si="4"/>
        <v>2088</v>
      </c>
      <c r="Y20" s="15">
        <f t="shared" si="4"/>
        <v>2091</v>
      </c>
      <c r="Z20" s="15">
        <f t="shared" si="4"/>
        <v>2094</v>
      </c>
      <c r="AA20" s="15">
        <f t="shared" si="4"/>
        <v>2097</v>
      </c>
      <c r="AB20" s="15">
        <f t="shared" si="4"/>
        <v>2100</v>
      </c>
      <c r="AC20" s="15">
        <f t="shared" si="4"/>
        <v>2103</v>
      </c>
      <c r="AD20" s="15">
        <f t="shared" si="4"/>
        <v>2106</v>
      </c>
      <c r="AE20" s="15">
        <f t="shared" si="4"/>
        <v>2109</v>
      </c>
      <c r="AF20" s="16">
        <f t="shared" si="4"/>
        <v>2112</v>
      </c>
    </row>
    <row r="21" spans="1:32" x14ac:dyDescent="0.35">
      <c r="A21" s="13" t="str">
        <f t="shared" si="3"/>
        <v>4Y AAA NBFC</v>
      </c>
      <c r="B21" s="14">
        <f t="shared" si="4"/>
        <v>2022</v>
      </c>
      <c r="C21" s="15">
        <f t="shared" si="4"/>
        <v>2026</v>
      </c>
      <c r="D21" s="15">
        <f t="shared" si="4"/>
        <v>2030</v>
      </c>
      <c r="E21" s="15">
        <f t="shared" si="4"/>
        <v>2034</v>
      </c>
      <c r="F21" s="15">
        <f t="shared" si="4"/>
        <v>2038</v>
      </c>
      <c r="G21" s="15">
        <f t="shared" si="4"/>
        <v>2042</v>
      </c>
      <c r="H21" s="15">
        <f t="shared" si="4"/>
        <v>2046</v>
      </c>
      <c r="I21" s="15">
        <f t="shared" si="4"/>
        <v>2050</v>
      </c>
      <c r="J21" s="15">
        <f t="shared" si="4"/>
        <v>2054</v>
      </c>
      <c r="K21" s="15">
        <f t="shared" si="4"/>
        <v>2058</v>
      </c>
      <c r="L21" s="15">
        <f t="shared" si="4"/>
        <v>2062</v>
      </c>
      <c r="M21" s="15">
        <f t="shared" si="4"/>
        <v>2066</v>
      </c>
      <c r="N21" s="15">
        <f t="shared" si="4"/>
        <v>2070</v>
      </c>
      <c r="O21" s="15">
        <f t="shared" si="4"/>
        <v>2074</v>
      </c>
      <c r="P21" s="15">
        <f t="shared" si="4"/>
        <v>2078</v>
      </c>
      <c r="Q21" s="15">
        <f t="shared" si="4"/>
        <v>2082</v>
      </c>
      <c r="R21" s="15">
        <f t="shared" si="4"/>
        <v>2086</v>
      </c>
      <c r="S21" s="15">
        <f t="shared" si="4"/>
        <v>2090</v>
      </c>
      <c r="T21" s="15">
        <f t="shared" si="4"/>
        <v>2094</v>
      </c>
      <c r="U21" s="15">
        <f t="shared" si="4"/>
        <v>2098</v>
      </c>
      <c r="V21" s="15">
        <f t="shared" si="4"/>
        <v>2102</v>
      </c>
      <c r="W21" s="15">
        <f t="shared" si="4"/>
        <v>2106</v>
      </c>
      <c r="X21" s="15">
        <f t="shared" si="4"/>
        <v>2110</v>
      </c>
      <c r="Y21" s="15">
        <f t="shared" si="4"/>
        <v>2114</v>
      </c>
      <c r="Z21" s="15">
        <f t="shared" si="4"/>
        <v>2118</v>
      </c>
      <c r="AA21" s="15">
        <f t="shared" si="4"/>
        <v>2122</v>
      </c>
      <c r="AB21" s="15">
        <f t="shared" si="4"/>
        <v>2126</v>
      </c>
      <c r="AC21" s="15">
        <f t="shared" si="4"/>
        <v>2130</v>
      </c>
      <c r="AD21" s="15">
        <f t="shared" si="4"/>
        <v>2134</v>
      </c>
      <c r="AE21" s="15">
        <f t="shared" si="4"/>
        <v>2138</v>
      </c>
      <c r="AF21" s="16">
        <f t="shared" si="4"/>
        <v>2142</v>
      </c>
    </row>
    <row r="22" spans="1:32" x14ac:dyDescent="0.35">
      <c r="A22" s="13" t="str">
        <f t="shared" si="3"/>
        <v>1Y AA Corporate</v>
      </c>
      <c r="B22" s="14">
        <f t="shared" si="4"/>
        <v>2022</v>
      </c>
      <c r="C22" s="15">
        <f t="shared" si="4"/>
        <v>2023</v>
      </c>
      <c r="D22" s="15">
        <f t="shared" si="4"/>
        <v>2024</v>
      </c>
      <c r="E22" s="15">
        <f t="shared" si="4"/>
        <v>2025</v>
      </c>
      <c r="F22" s="15">
        <f t="shared" si="4"/>
        <v>2026</v>
      </c>
      <c r="G22" s="15">
        <f t="shared" si="4"/>
        <v>2027</v>
      </c>
      <c r="H22" s="15">
        <f t="shared" si="4"/>
        <v>2028</v>
      </c>
      <c r="I22" s="15">
        <f t="shared" si="4"/>
        <v>2029</v>
      </c>
      <c r="J22" s="15">
        <f t="shared" si="4"/>
        <v>2030</v>
      </c>
      <c r="K22" s="15">
        <f t="shared" si="4"/>
        <v>2031</v>
      </c>
      <c r="L22" s="15">
        <f t="shared" si="4"/>
        <v>2032</v>
      </c>
      <c r="M22" s="15">
        <f t="shared" si="4"/>
        <v>2033</v>
      </c>
      <c r="N22" s="15">
        <f t="shared" si="4"/>
        <v>2034</v>
      </c>
      <c r="O22" s="15">
        <f t="shared" si="4"/>
        <v>2035</v>
      </c>
      <c r="P22" s="15">
        <f t="shared" si="4"/>
        <v>2036</v>
      </c>
      <c r="Q22" s="15">
        <f t="shared" si="4"/>
        <v>2037</v>
      </c>
      <c r="R22" s="15">
        <f t="shared" si="4"/>
        <v>2038</v>
      </c>
      <c r="S22" s="15">
        <f t="shared" si="4"/>
        <v>2039</v>
      </c>
      <c r="T22" s="15">
        <f t="shared" si="4"/>
        <v>2040</v>
      </c>
      <c r="U22" s="15">
        <f t="shared" si="4"/>
        <v>2041</v>
      </c>
      <c r="V22" s="15">
        <f t="shared" si="4"/>
        <v>2042</v>
      </c>
      <c r="W22" s="15">
        <f t="shared" si="4"/>
        <v>2043</v>
      </c>
      <c r="X22" s="15">
        <f t="shared" si="4"/>
        <v>2044</v>
      </c>
      <c r="Y22" s="15">
        <f t="shared" si="4"/>
        <v>2045</v>
      </c>
      <c r="Z22" s="15">
        <f t="shared" si="4"/>
        <v>2046</v>
      </c>
      <c r="AA22" s="15">
        <f t="shared" si="4"/>
        <v>2047</v>
      </c>
      <c r="AB22" s="15">
        <f t="shared" si="4"/>
        <v>2048</v>
      </c>
      <c r="AC22" s="15">
        <f t="shared" si="4"/>
        <v>2049</v>
      </c>
      <c r="AD22" s="15">
        <f t="shared" si="4"/>
        <v>2050</v>
      </c>
      <c r="AE22" s="15">
        <f t="shared" si="4"/>
        <v>2051</v>
      </c>
      <c r="AF22" s="16">
        <f t="shared" si="4"/>
        <v>2052</v>
      </c>
    </row>
    <row r="23" spans="1:32" x14ac:dyDescent="0.35">
      <c r="A23" s="13" t="str">
        <f t="shared" si="3"/>
        <v>2Y AA Corporate</v>
      </c>
      <c r="B23" s="14">
        <f t="shared" si="4"/>
        <v>2022</v>
      </c>
      <c r="C23" s="15">
        <f t="shared" si="4"/>
        <v>2024</v>
      </c>
      <c r="D23" s="15">
        <f t="shared" si="4"/>
        <v>2026</v>
      </c>
      <c r="E23" s="15">
        <f t="shared" si="4"/>
        <v>2028</v>
      </c>
      <c r="F23" s="15">
        <f t="shared" si="4"/>
        <v>2030</v>
      </c>
      <c r="G23" s="15">
        <f t="shared" si="4"/>
        <v>2032</v>
      </c>
      <c r="H23" s="15">
        <f t="shared" si="4"/>
        <v>2034</v>
      </c>
      <c r="I23" s="15">
        <f t="shared" si="4"/>
        <v>2036</v>
      </c>
      <c r="J23" s="15">
        <f t="shared" si="4"/>
        <v>2038</v>
      </c>
      <c r="K23" s="15">
        <f t="shared" si="4"/>
        <v>2040</v>
      </c>
      <c r="L23" s="15">
        <f t="shared" si="4"/>
        <v>2042</v>
      </c>
      <c r="M23" s="15">
        <f t="shared" si="4"/>
        <v>2044</v>
      </c>
      <c r="N23" s="15">
        <f t="shared" si="4"/>
        <v>2046</v>
      </c>
      <c r="O23" s="15">
        <f t="shared" si="4"/>
        <v>2048</v>
      </c>
      <c r="P23" s="15">
        <f t="shared" si="4"/>
        <v>2050</v>
      </c>
      <c r="Q23" s="15">
        <f t="shared" si="4"/>
        <v>2052</v>
      </c>
      <c r="R23" s="15">
        <f t="shared" si="4"/>
        <v>2054</v>
      </c>
      <c r="S23" s="15">
        <f t="shared" si="4"/>
        <v>2056</v>
      </c>
      <c r="T23" s="15">
        <f t="shared" si="4"/>
        <v>2058</v>
      </c>
      <c r="U23" s="15">
        <f t="shared" si="4"/>
        <v>2060</v>
      </c>
      <c r="V23" s="15">
        <f t="shared" si="4"/>
        <v>2062</v>
      </c>
      <c r="W23" s="15">
        <f t="shared" si="4"/>
        <v>2064</v>
      </c>
      <c r="X23" s="15">
        <f t="shared" si="4"/>
        <v>2066</v>
      </c>
      <c r="Y23" s="15">
        <f t="shared" si="4"/>
        <v>2068</v>
      </c>
      <c r="Z23" s="15">
        <f t="shared" si="4"/>
        <v>2070</v>
      </c>
      <c r="AA23" s="15">
        <f t="shared" si="4"/>
        <v>2072</v>
      </c>
      <c r="AB23" s="15">
        <f t="shared" si="4"/>
        <v>2074</v>
      </c>
      <c r="AC23" s="15">
        <f t="shared" si="4"/>
        <v>2076</v>
      </c>
      <c r="AD23" s="15">
        <f t="shared" si="4"/>
        <v>2078</v>
      </c>
      <c r="AE23" s="15">
        <f t="shared" si="4"/>
        <v>2080</v>
      </c>
      <c r="AF23" s="16">
        <f t="shared" si="4"/>
        <v>2082</v>
      </c>
    </row>
    <row r="24" spans="1:32" x14ac:dyDescent="0.35">
      <c r="A24" s="13" t="str">
        <f t="shared" si="3"/>
        <v>1Y AAA Corporate</v>
      </c>
      <c r="B24" s="14">
        <f t="shared" si="4"/>
        <v>2022</v>
      </c>
      <c r="C24" s="15">
        <f t="shared" si="4"/>
        <v>2023</v>
      </c>
      <c r="D24" s="15">
        <f t="shared" si="4"/>
        <v>2024</v>
      </c>
      <c r="E24" s="15">
        <f t="shared" si="4"/>
        <v>2025</v>
      </c>
      <c r="F24" s="15">
        <f t="shared" si="4"/>
        <v>2026</v>
      </c>
      <c r="G24" s="15">
        <f t="shared" si="4"/>
        <v>2027</v>
      </c>
      <c r="H24" s="15">
        <f t="shared" si="4"/>
        <v>2028</v>
      </c>
      <c r="I24" s="15">
        <f t="shared" si="4"/>
        <v>2029</v>
      </c>
      <c r="J24" s="15">
        <f t="shared" si="4"/>
        <v>2030</v>
      </c>
      <c r="K24" s="15">
        <f t="shared" si="4"/>
        <v>2031</v>
      </c>
      <c r="L24" s="15">
        <f t="shared" si="4"/>
        <v>2032</v>
      </c>
      <c r="M24" s="15">
        <f t="shared" si="4"/>
        <v>2033</v>
      </c>
      <c r="N24" s="15">
        <f t="shared" si="4"/>
        <v>2034</v>
      </c>
      <c r="O24" s="15">
        <f t="shared" si="4"/>
        <v>2035</v>
      </c>
      <c r="P24" s="15">
        <f t="shared" si="4"/>
        <v>2036</v>
      </c>
      <c r="Q24" s="15">
        <f t="shared" si="4"/>
        <v>2037</v>
      </c>
      <c r="R24" s="15">
        <f t="shared" si="4"/>
        <v>2038</v>
      </c>
      <c r="S24" s="15">
        <f t="shared" si="4"/>
        <v>2039</v>
      </c>
      <c r="T24" s="15">
        <f t="shared" si="4"/>
        <v>2040</v>
      </c>
      <c r="U24" s="15">
        <f t="shared" si="4"/>
        <v>2041</v>
      </c>
      <c r="V24" s="15">
        <f t="shared" si="4"/>
        <v>2042</v>
      </c>
      <c r="W24" s="15">
        <f t="shared" si="4"/>
        <v>2043</v>
      </c>
      <c r="X24" s="15">
        <f t="shared" si="4"/>
        <v>2044</v>
      </c>
      <c r="Y24" s="15">
        <f t="shared" si="4"/>
        <v>2045</v>
      </c>
      <c r="Z24" s="15">
        <f t="shared" si="4"/>
        <v>2046</v>
      </c>
      <c r="AA24" s="15">
        <f t="shared" si="4"/>
        <v>2047</v>
      </c>
      <c r="AB24" s="15">
        <f t="shared" si="4"/>
        <v>2048</v>
      </c>
      <c r="AC24" s="15">
        <f t="shared" si="4"/>
        <v>2049</v>
      </c>
      <c r="AD24" s="15">
        <f t="shared" si="4"/>
        <v>2050</v>
      </c>
      <c r="AE24" s="15">
        <f t="shared" si="4"/>
        <v>2051</v>
      </c>
      <c r="AF24" s="16">
        <f t="shared" si="4"/>
        <v>2052</v>
      </c>
    </row>
    <row r="25" spans="1:32" x14ac:dyDescent="0.35">
      <c r="A25" s="13" t="str">
        <f t="shared" si="3"/>
        <v>2Y AAA Corporate</v>
      </c>
      <c r="B25" s="14">
        <f t="shared" si="4"/>
        <v>2022</v>
      </c>
      <c r="C25" s="15">
        <f t="shared" si="4"/>
        <v>2024</v>
      </c>
      <c r="D25" s="15">
        <f t="shared" si="4"/>
        <v>2026</v>
      </c>
      <c r="E25" s="15">
        <f t="shared" si="4"/>
        <v>2028</v>
      </c>
      <c r="F25" s="15">
        <f t="shared" si="4"/>
        <v>2030</v>
      </c>
      <c r="G25" s="15">
        <f t="shared" si="4"/>
        <v>2032</v>
      </c>
      <c r="H25" s="15">
        <f t="shared" si="4"/>
        <v>2034</v>
      </c>
      <c r="I25" s="15">
        <f t="shared" si="4"/>
        <v>2036</v>
      </c>
      <c r="J25" s="15">
        <f t="shared" si="4"/>
        <v>2038</v>
      </c>
      <c r="K25" s="15">
        <f t="shared" si="4"/>
        <v>2040</v>
      </c>
      <c r="L25" s="15">
        <f t="shared" si="4"/>
        <v>2042</v>
      </c>
      <c r="M25" s="15">
        <f t="shared" si="4"/>
        <v>2044</v>
      </c>
      <c r="N25" s="15">
        <f t="shared" si="4"/>
        <v>2046</v>
      </c>
      <c r="O25" s="15">
        <f t="shared" si="4"/>
        <v>2048</v>
      </c>
      <c r="P25" s="15">
        <f t="shared" si="4"/>
        <v>2050</v>
      </c>
      <c r="Q25" s="15">
        <f t="shared" si="4"/>
        <v>2052</v>
      </c>
      <c r="R25" s="15">
        <f t="shared" si="4"/>
        <v>2054</v>
      </c>
      <c r="S25" s="15">
        <f t="shared" si="4"/>
        <v>2056</v>
      </c>
      <c r="T25" s="15">
        <f t="shared" si="4"/>
        <v>2058</v>
      </c>
      <c r="U25" s="15">
        <f t="shared" si="4"/>
        <v>2060</v>
      </c>
      <c r="V25" s="15">
        <f t="shared" si="4"/>
        <v>2062</v>
      </c>
      <c r="W25" s="15">
        <f t="shared" si="4"/>
        <v>2064</v>
      </c>
      <c r="X25" s="15">
        <f t="shared" si="4"/>
        <v>2066</v>
      </c>
      <c r="Y25" s="15">
        <f t="shared" si="4"/>
        <v>2068</v>
      </c>
      <c r="Z25" s="15">
        <f t="shared" si="4"/>
        <v>2070</v>
      </c>
      <c r="AA25" s="15">
        <f t="shared" si="4"/>
        <v>2072</v>
      </c>
      <c r="AB25" s="15">
        <f t="shared" si="4"/>
        <v>2074</v>
      </c>
      <c r="AC25" s="15">
        <f t="shared" si="4"/>
        <v>2076</v>
      </c>
      <c r="AD25" s="15">
        <f t="shared" si="4"/>
        <v>2078</v>
      </c>
      <c r="AE25" s="15">
        <f t="shared" si="4"/>
        <v>2080</v>
      </c>
      <c r="AF25" s="16">
        <f t="shared" si="4"/>
        <v>2082</v>
      </c>
    </row>
    <row r="26" spans="1:32" x14ac:dyDescent="0.35">
      <c r="A26" s="13" t="str">
        <f t="shared" si="3"/>
        <v>3Y AAA Corporate</v>
      </c>
      <c r="B26" s="14">
        <f t="shared" si="4"/>
        <v>2022</v>
      </c>
      <c r="C26" s="15">
        <f t="shared" si="4"/>
        <v>2025</v>
      </c>
      <c r="D26" s="15">
        <f t="shared" si="4"/>
        <v>2028</v>
      </c>
      <c r="E26" s="15">
        <f t="shared" si="4"/>
        <v>2031</v>
      </c>
      <c r="F26" s="15">
        <f t="shared" si="4"/>
        <v>2034</v>
      </c>
      <c r="G26" s="15">
        <f t="shared" si="4"/>
        <v>2037</v>
      </c>
      <c r="H26" s="15">
        <f t="shared" si="4"/>
        <v>2040</v>
      </c>
      <c r="I26" s="15">
        <f t="shared" ref="I26:AM26" si="5">I$17*$C12+$B$1</f>
        <v>2043</v>
      </c>
      <c r="J26" s="15">
        <f t="shared" si="5"/>
        <v>2046</v>
      </c>
      <c r="K26" s="15">
        <f t="shared" si="5"/>
        <v>2049</v>
      </c>
      <c r="L26" s="15">
        <f t="shared" si="5"/>
        <v>2052</v>
      </c>
      <c r="M26" s="15">
        <f t="shared" si="5"/>
        <v>2055</v>
      </c>
      <c r="N26" s="15">
        <f t="shared" si="5"/>
        <v>2058</v>
      </c>
      <c r="O26" s="15">
        <f t="shared" si="5"/>
        <v>2061</v>
      </c>
      <c r="P26" s="15">
        <f t="shared" si="5"/>
        <v>2064</v>
      </c>
      <c r="Q26" s="15">
        <f t="shared" si="5"/>
        <v>2067</v>
      </c>
      <c r="R26" s="15">
        <f t="shared" si="5"/>
        <v>2070</v>
      </c>
      <c r="S26" s="15">
        <f t="shared" si="5"/>
        <v>2073</v>
      </c>
      <c r="T26" s="15">
        <f t="shared" si="5"/>
        <v>2076</v>
      </c>
      <c r="U26" s="15">
        <f t="shared" si="5"/>
        <v>2079</v>
      </c>
      <c r="V26" s="15">
        <f t="shared" si="5"/>
        <v>2082</v>
      </c>
      <c r="W26" s="15">
        <f t="shared" si="5"/>
        <v>2085</v>
      </c>
      <c r="X26" s="15">
        <f t="shared" si="5"/>
        <v>2088</v>
      </c>
      <c r="Y26" s="15">
        <f t="shared" si="5"/>
        <v>2091</v>
      </c>
      <c r="Z26" s="15">
        <f t="shared" si="5"/>
        <v>2094</v>
      </c>
      <c r="AA26" s="15">
        <f t="shared" si="5"/>
        <v>2097</v>
      </c>
      <c r="AB26" s="15">
        <f t="shared" si="5"/>
        <v>2100</v>
      </c>
      <c r="AC26" s="15">
        <f t="shared" si="5"/>
        <v>2103</v>
      </c>
      <c r="AD26" s="15">
        <f t="shared" si="5"/>
        <v>2106</v>
      </c>
      <c r="AE26" s="15">
        <f t="shared" si="5"/>
        <v>2109</v>
      </c>
      <c r="AF26" s="16">
        <f t="shared" si="5"/>
        <v>2112</v>
      </c>
    </row>
    <row r="27" spans="1:32" x14ac:dyDescent="0.35">
      <c r="A27" s="13" t="str">
        <f t="shared" si="3"/>
        <v>4Y AAA Corporate</v>
      </c>
      <c r="B27" s="14">
        <f t="shared" ref="B27:AF28" si="6">B$17*$C13+$B$1</f>
        <v>2022</v>
      </c>
      <c r="C27" s="15">
        <f t="shared" si="6"/>
        <v>2026</v>
      </c>
      <c r="D27" s="15">
        <f t="shared" si="6"/>
        <v>2030</v>
      </c>
      <c r="E27" s="15">
        <f t="shared" si="6"/>
        <v>2034</v>
      </c>
      <c r="F27" s="15">
        <f t="shared" si="6"/>
        <v>2038</v>
      </c>
      <c r="G27" s="15">
        <f t="shared" si="6"/>
        <v>2042</v>
      </c>
      <c r="H27" s="15">
        <f t="shared" si="6"/>
        <v>2046</v>
      </c>
      <c r="I27" s="15">
        <f t="shared" si="6"/>
        <v>2050</v>
      </c>
      <c r="J27" s="15">
        <f t="shared" si="6"/>
        <v>2054</v>
      </c>
      <c r="K27" s="15">
        <f t="shared" si="6"/>
        <v>2058</v>
      </c>
      <c r="L27" s="15">
        <f t="shared" si="6"/>
        <v>2062</v>
      </c>
      <c r="M27" s="15">
        <f t="shared" si="6"/>
        <v>2066</v>
      </c>
      <c r="N27" s="15">
        <f t="shared" si="6"/>
        <v>2070</v>
      </c>
      <c r="O27" s="15">
        <f t="shared" si="6"/>
        <v>2074</v>
      </c>
      <c r="P27" s="15">
        <f t="shared" si="6"/>
        <v>2078</v>
      </c>
      <c r="Q27" s="15">
        <f t="shared" si="6"/>
        <v>2082</v>
      </c>
      <c r="R27" s="15">
        <f t="shared" si="6"/>
        <v>2086</v>
      </c>
      <c r="S27" s="15">
        <f t="shared" si="6"/>
        <v>2090</v>
      </c>
      <c r="T27" s="15">
        <f t="shared" si="6"/>
        <v>2094</v>
      </c>
      <c r="U27" s="15">
        <f t="shared" si="6"/>
        <v>2098</v>
      </c>
      <c r="V27" s="15">
        <f t="shared" si="6"/>
        <v>2102</v>
      </c>
      <c r="W27" s="15">
        <f t="shared" si="6"/>
        <v>2106</v>
      </c>
      <c r="X27" s="15">
        <f t="shared" si="6"/>
        <v>2110</v>
      </c>
      <c r="Y27" s="15">
        <f t="shared" si="6"/>
        <v>2114</v>
      </c>
      <c r="Z27" s="15">
        <f t="shared" si="6"/>
        <v>2118</v>
      </c>
      <c r="AA27" s="15">
        <f t="shared" si="6"/>
        <v>2122</v>
      </c>
      <c r="AB27" s="15">
        <f t="shared" si="6"/>
        <v>2126</v>
      </c>
      <c r="AC27" s="15">
        <f t="shared" si="6"/>
        <v>2130</v>
      </c>
      <c r="AD27" s="15">
        <f t="shared" si="6"/>
        <v>2134</v>
      </c>
      <c r="AE27" s="15">
        <f t="shared" si="6"/>
        <v>2138</v>
      </c>
      <c r="AF27" s="16">
        <f t="shared" si="6"/>
        <v>2142</v>
      </c>
    </row>
    <row r="28" spans="1:32" x14ac:dyDescent="0.35">
      <c r="A28" s="13" t="str">
        <f t="shared" si="3"/>
        <v>5Y AAA Corporate</v>
      </c>
      <c r="B28" s="17">
        <f t="shared" si="6"/>
        <v>2022</v>
      </c>
      <c r="C28" s="18">
        <f t="shared" si="6"/>
        <v>2027</v>
      </c>
      <c r="D28" s="18">
        <f t="shared" si="6"/>
        <v>2032</v>
      </c>
      <c r="E28" s="18">
        <f t="shared" si="6"/>
        <v>2037</v>
      </c>
      <c r="F28" s="18">
        <f t="shared" si="6"/>
        <v>2042</v>
      </c>
      <c r="G28" s="18">
        <f t="shared" si="6"/>
        <v>2047</v>
      </c>
      <c r="H28" s="18">
        <f t="shared" si="6"/>
        <v>2052</v>
      </c>
      <c r="I28" s="18">
        <f t="shared" si="6"/>
        <v>2057</v>
      </c>
      <c r="J28" s="18">
        <f t="shared" si="6"/>
        <v>2062</v>
      </c>
      <c r="K28" s="18">
        <f t="shared" si="6"/>
        <v>2067</v>
      </c>
      <c r="L28" s="18">
        <f t="shared" si="6"/>
        <v>2072</v>
      </c>
      <c r="M28" s="18">
        <f t="shared" si="6"/>
        <v>2077</v>
      </c>
      <c r="N28" s="18">
        <f t="shared" si="6"/>
        <v>2082</v>
      </c>
      <c r="O28" s="18">
        <f t="shared" si="6"/>
        <v>2087</v>
      </c>
      <c r="P28" s="18">
        <f t="shared" si="6"/>
        <v>2092</v>
      </c>
      <c r="Q28" s="18">
        <f t="shared" si="6"/>
        <v>2097</v>
      </c>
      <c r="R28" s="18">
        <f t="shared" si="6"/>
        <v>2102</v>
      </c>
      <c r="S28" s="18">
        <f t="shared" si="6"/>
        <v>2107</v>
      </c>
      <c r="T28" s="18">
        <f t="shared" si="6"/>
        <v>2112</v>
      </c>
      <c r="U28" s="18">
        <f t="shared" si="6"/>
        <v>2117</v>
      </c>
      <c r="V28" s="18">
        <f t="shared" si="6"/>
        <v>2122</v>
      </c>
      <c r="W28" s="18">
        <f t="shared" si="6"/>
        <v>2127</v>
      </c>
      <c r="X28" s="18">
        <f t="shared" si="6"/>
        <v>2132</v>
      </c>
      <c r="Y28" s="18">
        <f t="shared" si="6"/>
        <v>2137</v>
      </c>
      <c r="Z28" s="18">
        <f t="shared" si="6"/>
        <v>2142</v>
      </c>
      <c r="AA28" s="18">
        <f t="shared" si="6"/>
        <v>2147</v>
      </c>
      <c r="AB28" s="18">
        <f t="shared" si="6"/>
        <v>2152</v>
      </c>
      <c r="AC28" s="18">
        <f t="shared" si="6"/>
        <v>2157</v>
      </c>
      <c r="AD28" s="18">
        <f t="shared" si="6"/>
        <v>2162</v>
      </c>
      <c r="AE28" s="18">
        <f t="shared" si="6"/>
        <v>2167</v>
      </c>
      <c r="AF28" s="19">
        <f t="shared" si="6"/>
        <v>2172</v>
      </c>
    </row>
    <row r="30" spans="1:32" x14ac:dyDescent="0.35">
      <c r="A30" s="20" t="s">
        <v>19</v>
      </c>
      <c r="B30" s="21">
        <v>2022</v>
      </c>
      <c r="C30" s="21">
        <v>2023</v>
      </c>
      <c r="D30" s="21">
        <v>2024</v>
      </c>
      <c r="E30" s="21">
        <v>2025</v>
      </c>
      <c r="F30" s="21">
        <v>2026</v>
      </c>
      <c r="G30" s="21">
        <v>2027</v>
      </c>
      <c r="H30" s="21">
        <v>2028</v>
      </c>
      <c r="I30" s="21">
        <v>2029</v>
      </c>
      <c r="J30" s="21">
        <v>2030</v>
      </c>
      <c r="K30" s="21">
        <v>2031</v>
      </c>
      <c r="L30" s="21">
        <v>2032</v>
      </c>
      <c r="M30" s="21">
        <v>2033</v>
      </c>
      <c r="N30" s="21">
        <v>2034</v>
      </c>
      <c r="O30" s="21">
        <v>2035</v>
      </c>
      <c r="P30" s="21">
        <v>2036</v>
      </c>
      <c r="Q30" s="21">
        <v>2037</v>
      </c>
      <c r="R30" s="21">
        <v>2038</v>
      </c>
      <c r="S30" s="21">
        <v>2039</v>
      </c>
      <c r="T30" s="21">
        <v>2040</v>
      </c>
      <c r="U30" s="21">
        <v>2041</v>
      </c>
      <c r="V30" s="21">
        <v>2042</v>
      </c>
      <c r="W30" s="21">
        <v>2043</v>
      </c>
      <c r="X30" s="21">
        <v>2044</v>
      </c>
      <c r="Y30" s="21">
        <v>2045</v>
      </c>
      <c r="Z30" s="21">
        <v>2046</v>
      </c>
      <c r="AA30" s="21">
        <v>2047</v>
      </c>
      <c r="AB30" s="21">
        <v>2048</v>
      </c>
      <c r="AC30" s="21">
        <v>2049</v>
      </c>
      <c r="AD30" s="21">
        <v>2050</v>
      </c>
    </row>
    <row r="31" spans="1:32" x14ac:dyDescent="0.35">
      <c r="A31" s="13" t="str">
        <f t="shared" ref="A31:A41" si="7">A18</f>
        <v>1Y AAA NBFC</v>
      </c>
      <c r="B31" s="22">
        <f>IF(ISNA(MATCH(B$30,$B18:$AF18,0)),0,1)</f>
        <v>1</v>
      </c>
      <c r="C31" s="22">
        <f t="shared" ref="C31:AD31" si="8">IF(ISNA(MATCH(C$30,$B18:$AF18,0)),0,1)</f>
        <v>1</v>
      </c>
      <c r="D31" s="22">
        <f t="shared" si="8"/>
        <v>1</v>
      </c>
      <c r="E31" s="22">
        <f t="shared" si="8"/>
        <v>1</v>
      </c>
      <c r="F31" s="22">
        <f t="shared" si="8"/>
        <v>1</v>
      </c>
      <c r="G31" s="22">
        <f t="shared" si="8"/>
        <v>1</v>
      </c>
      <c r="H31" s="22">
        <f t="shared" si="8"/>
        <v>1</v>
      </c>
      <c r="I31" s="22">
        <f t="shared" si="8"/>
        <v>1</v>
      </c>
      <c r="J31" s="22">
        <f t="shared" si="8"/>
        <v>1</v>
      </c>
      <c r="K31" s="22">
        <f t="shared" si="8"/>
        <v>1</v>
      </c>
      <c r="L31" s="22">
        <f t="shared" si="8"/>
        <v>1</v>
      </c>
      <c r="M31" s="22">
        <f t="shared" si="8"/>
        <v>1</v>
      </c>
      <c r="N31" s="22">
        <f t="shared" si="8"/>
        <v>1</v>
      </c>
      <c r="O31" s="22">
        <f t="shared" si="8"/>
        <v>1</v>
      </c>
      <c r="P31" s="22">
        <f t="shared" si="8"/>
        <v>1</v>
      </c>
      <c r="Q31" s="22">
        <f t="shared" si="8"/>
        <v>1</v>
      </c>
      <c r="R31" s="22">
        <f t="shared" si="8"/>
        <v>1</v>
      </c>
      <c r="S31" s="22">
        <f t="shared" si="8"/>
        <v>1</v>
      </c>
      <c r="T31" s="22">
        <f t="shared" si="8"/>
        <v>1</v>
      </c>
      <c r="U31" s="22">
        <f t="shared" si="8"/>
        <v>1</v>
      </c>
      <c r="V31" s="22">
        <f t="shared" si="8"/>
        <v>1</v>
      </c>
      <c r="W31" s="22">
        <f t="shared" si="8"/>
        <v>1</v>
      </c>
      <c r="X31" s="22">
        <f t="shared" si="8"/>
        <v>1</v>
      </c>
      <c r="Y31" s="22">
        <f t="shared" si="8"/>
        <v>1</v>
      </c>
      <c r="Z31" s="22">
        <f t="shared" si="8"/>
        <v>1</v>
      </c>
      <c r="AA31" s="22">
        <f t="shared" si="8"/>
        <v>1</v>
      </c>
      <c r="AB31" s="22">
        <f t="shared" si="8"/>
        <v>1</v>
      </c>
      <c r="AC31" s="22">
        <f t="shared" si="8"/>
        <v>1</v>
      </c>
      <c r="AD31" s="22">
        <f t="shared" si="8"/>
        <v>1</v>
      </c>
    </row>
    <row r="32" spans="1:32" x14ac:dyDescent="0.35">
      <c r="A32" s="13" t="str">
        <f t="shared" si="7"/>
        <v>2Y AAA NBFC</v>
      </c>
      <c r="B32" s="22">
        <f t="shared" ref="B32:AD40" si="9">IF(ISNA(MATCH(B$30,$B19:$AF19,0)),0,1)</f>
        <v>1</v>
      </c>
      <c r="C32" s="22">
        <f t="shared" si="9"/>
        <v>0</v>
      </c>
      <c r="D32" s="22">
        <f t="shared" si="9"/>
        <v>1</v>
      </c>
      <c r="E32" s="22">
        <f t="shared" si="9"/>
        <v>0</v>
      </c>
      <c r="F32" s="22">
        <f t="shared" si="9"/>
        <v>1</v>
      </c>
      <c r="G32" s="22">
        <f t="shared" si="9"/>
        <v>0</v>
      </c>
      <c r="H32" s="22">
        <f t="shared" si="9"/>
        <v>1</v>
      </c>
      <c r="I32" s="22">
        <f t="shared" si="9"/>
        <v>0</v>
      </c>
      <c r="J32" s="22">
        <f t="shared" si="9"/>
        <v>1</v>
      </c>
      <c r="K32" s="22">
        <f t="shared" si="9"/>
        <v>0</v>
      </c>
      <c r="L32" s="22">
        <f t="shared" si="9"/>
        <v>1</v>
      </c>
      <c r="M32" s="22">
        <f t="shared" si="9"/>
        <v>0</v>
      </c>
      <c r="N32" s="22">
        <f t="shared" si="9"/>
        <v>1</v>
      </c>
      <c r="O32" s="22">
        <f t="shared" si="9"/>
        <v>0</v>
      </c>
      <c r="P32" s="22">
        <f t="shared" si="9"/>
        <v>1</v>
      </c>
      <c r="Q32" s="22">
        <f t="shared" si="9"/>
        <v>0</v>
      </c>
      <c r="R32" s="22">
        <f t="shared" si="9"/>
        <v>1</v>
      </c>
      <c r="S32" s="22">
        <f t="shared" si="9"/>
        <v>0</v>
      </c>
      <c r="T32" s="22">
        <f t="shared" si="9"/>
        <v>1</v>
      </c>
      <c r="U32" s="22">
        <f t="shared" si="9"/>
        <v>0</v>
      </c>
      <c r="V32" s="22">
        <f t="shared" si="9"/>
        <v>1</v>
      </c>
      <c r="W32" s="22">
        <f t="shared" si="9"/>
        <v>0</v>
      </c>
      <c r="X32" s="22">
        <f t="shared" si="9"/>
        <v>1</v>
      </c>
      <c r="Y32" s="22">
        <f t="shared" si="9"/>
        <v>0</v>
      </c>
      <c r="Z32" s="22">
        <f t="shared" si="9"/>
        <v>1</v>
      </c>
      <c r="AA32" s="22">
        <f t="shared" si="9"/>
        <v>0</v>
      </c>
      <c r="AB32" s="22">
        <f t="shared" si="9"/>
        <v>1</v>
      </c>
      <c r="AC32" s="22">
        <f t="shared" si="9"/>
        <v>0</v>
      </c>
      <c r="AD32" s="22">
        <f t="shared" si="9"/>
        <v>1</v>
      </c>
    </row>
    <row r="33" spans="1:30" x14ac:dyDescent="0.35">
      <c r="A33" s="13" t="str">
        <f t="shared" si="7"/>
        <v>3Y AAA NBFC</v>
      </c>
      <c r="B33" s="22">
        <f t="shared" si="9"/>
        <v>1</v>
      </c>
      <c r="C33" s="22">
        <f t="shared" si="9"/>
        <v>0</v>
      </c>
      <c r="D33" s="22">
        <f t="shared" si="9"/>
        <v>0</v>
      </c>
      <c r="E33" s="22">
        <f t="shared" si="9"/>
        <v>1</v>
      </c>
      <c r="F33" s="22">
        <f t="shared" si="9"/>
        <v>0</v>
      </c>
      <c r="G33" s="22">
        <f t="shared" si="9"/>
        <v>0</v>
      </c>
      <c r="H33" s="22">
        <f t="shared" si="9"/>
        <v>1</v>
      </c>
      <c r="I33" s="22">
        <f t="shared" si="9"/>
        <v>0</v>
      </c>
      <c r="J33" s="22">
        <f t="shared" si="9"/>
        <v>0</v>
      </c>
      <c r="K33" s="22">
        <f t="shared" si="9"/>
        <v>1</v>
      </c>
      <c r="L33" s="22">
        <f t="shared" si="9"/>
        <v>0</v>
      </c>
      <c r="M33" s="22">
        <f t="shared" si="9"/>
        <v>0</v>
      </c>
      <c r="N33" s="22">
        <f t="shared" si="9"/>
        <v>1</v>
      </c>
      <c r="O33" s="22">
        <f t="shared" si="9"/>
        <v>0</v>
      </c>
      <c r="P33" s="22">
        <f t="shared" si="9"/>
        <v>0</v>
      </c>
      <c r="Q33" s="22">
        <f t="shared" si="9"/>
        <v>1</v>
      </c>
      <c r="R33" s="22">
        <f t="shared" si="9"/>
        <v>0</v>
      </c>
      <c r="S33" s="22">
        <f t="shared" si="9"/>
        <v>0</v>
      </c>
      <c r="T33" s="22">
        <f t="shared" si="9"/>
        <v>1</v>
      </c>
      <c r="U33" s="22">
        <f t="shared" si="9"/>
        <v>0</v>
      </c>
      <c r="V33" s="22">
        <f t="shared" si="9"/>
        <v>0</v>
      </c>
      <c r="W33" s="22">
        <f t="shared" si="9"/>
        <v>1</v>
      </c>
      <c r="X33" s="22">
        <f t="shared" si="9"/>
        <v>0</v>
      </c>
      <c r="Y33" s="22">
        <f t="shared" si="9"/>
        <v>0</v>
      </c>
      <c r="Z33" s="22">
        <f t="shared" si="9"/>
        <v>1</v>
      </c>
      <c r="AA33" s="22">
        <f t="shared" si="9"/>
        <v>0</v>
      </c>
      <c r="AB33" s="22">
        <f t="shared" si="9"/>
        <v>0</v>
      </c>
      <c r="AC33" s="22">
        <f t="shared" si="9"/>
        <v>1</v>
      </c>
      <c r="AD33" s="22">
        <f t="shared" si="9"/>
        <v>0</v>
      </c>
    </row>
    <row r="34" spans="1:30" x14ac:dyDescent="0.35">
      <c r="A34" s="13" t="str">
        <f t="shared" si="7"/>
        <v>4Y AAA NBFC</v>
      </c>
      <c r="B34" s="22">
        <f t="shared" si="9"/>
        <v>1</v>
      </c>
      <c r="C34" s="22">
        <f t="shared" si="9"/>
        <v>0</v>
      </c>
      <c r="D34" s="22">
        <f t="shared" si="9"/>
        <v>0</v>
      </c>
      <c r="E34" s="22">
        <f t="shared" si="9"/>
        <v>0</v>
      </c>
      <c r="F34" s="22">
        <f t="shared" si="9"/>
        <v>1</v>
      </c>
      <c r="G34" s="22">
        <f t="shared" si="9"/>
        <v>0</v>
      </c>
      <c r="H34" s="22">
        <f t="shared" si="9"/>
        <v>0</v>
      </c>
      <c r="I34" s="22">
        <f t="shared" si="9"/>
        <v>0</v>
      </c>
      <c r="J34" s="22">
        <f t="shared" si="9"/>
        <v>1</v>
      </c>
      <c r="K34" s="22">
        <f t="shared" si="9"/>
        <v>0</v>
      </c>
      <c r="L34" s="22">
        <f t="shared" si="9"/>
        <v>0</v>
      </c>
      <c r="M34" s="22">
        <f t="shared" si="9"/>
        <v>0</v>
      </c>
      <c r="N34" s="22">
        <f t="shared" si="9"/>
        <v>1</v>
      </c>
      <c r="O34" s="22">
        <f t="shared" si="9"/>
        <v>0</v>
      </c>
      <c r="P34" s="22">
        <f t="shared" si="9"/>
        <v>0</v>
      </c>
      <c r="Q34" s="22">
        <f t="shared" si="9"/>
        <v>0</v>
      </c>
      <c r="R34" s="22">
        <f t="shared" si="9"/>
        <v>1</v>
      </c>
      <c r="S34" s="22">
        <f t="shared" si="9"/>
        <v>0</v>
      </c>
      <c r="T34" s="22">
        <f t="shared" si="9"/>
        <v>0</v>
      </c>
      <c r="U34" s="22">
        <f t="shared" si="9"/>
        <v>0</v>
      </c>
      <c r="V34" s="22">
        <f t="shared" si="9"/>
        <v>1</v>
      </c>
      <c r="W34" s="22">
        <f t="shared" si="9"/>
        <v>0</v>
      </c>
      <c r="X34" s="22">
        <f t="shared" si="9"/>
        <v>0</v>
      </c>
      <c r="Y34" s="22">
        <f t="shared" si="9"/>
        <v>0</v>
      </c>
      <c r="Z34" s="22">
        <f t="shared" si="9"/>
        <v>1</v>
      </c>
      <c r="AA34" s="22">
        <f t="shared" si="9"/>
        <v>0</v>
      </c>
      <c r="AB34" s="22">
        <f t="shared" si="9"/>
        <v>0</v>
      </c>
      <c r="AC34" s="22">
        <f t="shared" si="9"/>
        <v>0</v>
      </c>
      <c r="AD34" s="22">
        <f t="shared" si="9"/>
        <v>1</v>
      </c>
    </row>
    <row r="35" spans="1:30" x14ac:dyDescent="0.35">
      <c r="A35" s="13" t="str">
        <f t="shared" si="7"/>
        <v>1Y AA Corporate</v>
      </c>
      <c r="B35" s="22">
        <f t="shared" si="9"/>
        <v>1</v>
      </c>
      <c r="C35" s="22">
        <f t="shared" si="9"/>
        <v>1</v>
      </c>
      <c r="D35" s="22">
        <f t="shared" si="9"/>
        <v>1</v>
      </c>
      <c r="E35" s="22">
        <f t="shared" si="9"/>
        <v>1</v>
      </c>
      <c r="F35" s="22">
        <f t="shared" si="9"/>
        <v>1</v>
      </c>
      <c r="G35" s="22">
        <f t="shared" si="9"/>
        <v>1</v>
      </c>
      <c r="H35" s="22">
        <f t="shared" si="9"/>
        <v>1</v>
      </c>
      <c r="I35" s="22">
        <f t="shared" si="9"/>
        <v>1</v>
      </c>
      <c r="J35" s="22">
        <f t="shared" si="9"/>
        <v>1</v>
      </c>
      <c r="K35" s="22">
        <f t="shared" si="9"/>
        <v>1</v>
      </c>
      <c r="L35" s="22">
        <f t="shared" si="9"/>
        <v>1</v>
      </c>
      <c r="M35" s="22">
        <f t="shared" si="9"/>
        <v>1</v>
      </c>
      <c r="N35" s="22">
        <f t="shared" si="9"/>
        <v>1</v>
      </c>
      <c r="O35" s="22">
        <f t="shared" si="9"/>
        <v>1</v>
      </c>
      <c r="P35" s="22">
        <f t="shared" si="9"/>
        <v>1</v>
      </c>
      <c r="Q35" s="22">
        <f t="shared" si="9"/>
        <v>1</v>
      </c>
      <c r="R35" s="22">
        <f t="shared" si="9"/>
        <v>1</v>
      </c>
      <c r="S35" s="22">
        <f t="shared" si="9"/>
        <v>1</v>
      </c>
      <c r="T35" s="22">
        <f t="shared" si="9"/>
        <v>1</v>
      </c>
      <c r="U35" s="22">
        <f t="shared" si="9"/>
        <v>1</v>
      </c>
      <c r="V35" s="22">
        <f t="shared" si="9"/>
        <v>1</v>
      </c>
      <c r="W35" s="22">
        <f t="shared" si="9"/>
        <v>1</v>
      </c>
      <c r="X35" s="22">
        <f t="shared" si="9"/>
        <v>1</v>
      </c>
      <c r="Y35" s="22">
        <f t="shared" si="9"/>
        <v>1</v>
      </c>
      <c r="Z35" s="22">
        <f t="shared" si="9"/>
        <v>1</v>
      </c>
      <c r="AA35" s="22">
        <f t="shared" si="9"/>
        <v>1</v>
      </c>
      <c r="AB35" s="22">
        <f t="shared" si="9"/>
        <v>1</v>
      </c>
      <c r="AC35" s="22">
        <f t="shared" si="9"/>
        <v>1</v>
      </c>
      <c r="AD35" s="22">
        <f t="shared" si="9"/>
        <v>1</v>
      </c>
    </row>
    <row r="36" spans="1:30" x14ac:dyDescent="0.35">
      <c r="A36" s="13" t="str">
        <f t="shared" si="7"/>
        <v>2Y AA Corporate</v>
      </c>
      <c r="B36" s="22">
        <f t="shared" si="9"/>
        <v>1</v>
      </c>
      <c r="C36" s="22">
        <f t="shared" si="9"/>
        <v>0</v>
      </c>
      <c r="D36" s="22">
        <f t="shared" si="9"/>
        <v>1</v>
      </c>
      <c r="E36" s="22">
        <f t="shared" si="9"/>
        <v>0</v>
      </c>
      <c r="F36" s="22">
        <f t="shared" si="9"/>
        <v>1</v>
      </c>
      <c r="G36" s="22">
        <f t="shared" si="9"/>
        <v>0</v>
      </c>
      <c r="H36" s="22">
        <f t="shared" si="9"/>
        <v>1</v>
      </c>
      <c r="I36" s="22">
        <f t="shared" si="9"/>
        <v>0</v>
      </c>
      <c r="J36" s="22">
        <f t="shared" si="9"/>
        <v>1</v>
      </c>
      <c r="K36" s="22">
        <f t="shared" si="9"/>
        <v>0</v>
      </c>
      <c r="L36" s="22">
        <f t="shared" si="9"/>
        <v>1</v>
      </c>
      <c r="M36" s="22">
        <f t="shared" si="9"/>
        <v>0</v>
      </c>
      <c r="N36" s="22">
        <f t="shared" si="9"/>
        <v>1</v>
      </c>
      <c r="O36" s="22">
        <f t="shared" si="9"/>
        <v>0</v>
      </c>
      <c r="P36" s="22">
        <f t="shared" si="9"/>
        <v>1</v>
      </c>
      <c r="Q36" s="22">
        <f t="shared" si="9"/>
        <v>0</v>
      </c>
      <c r="R36" s="22">
        <f t="shared" si="9"/>
        <v>1</v>
      </c>
      <c r="S36" s="22">
        <f t="shared" si="9"/>
        <v>0</v>
      </c>
      <c r="T36" s="22">
        <f t="shared" si="9"/>
        <v>1</v>
      </c>
      <c r="U36" s="22">
        <f t="shared" si="9"/>
        <v>0</v>
      </c>
      <c r="V36" s="22">
        <f t="shared" si="9"/>
        <v>1</v>
      </c>
      <c r="W36" s="22">
        <f t="shared" si="9"/>
        <v>0</v>
      </c>
      <c r="X36" s="22">
        <f t="shared" si="9"/>
        <v>1</v>
      </c>
      <c r="Y36" s="22">
        <f t="shared" si="9"/>
        <v>0</v>
      </c>
      <c r="Z36" s="22">
        <f t="shared" si="9"/>
        <v>1</v>
      </c>
      <c r="AA36" s="22">
        <f t="shared" si="9"/>
        <v>0</v>
      </c>
      <c r="AB36" s="22">
        <f t="shared" si="9"/>
        <v>1</v>
      </c>
      <c r="AC36" s="22">
        <f t="shared" si="9"/>
        <v>0</v>
      </c>
      <c r="AD36" s="22">
        <f t="shared" si="9"/>
        <v>1</v>
      </c>
    </row>
    <row r="37" spans="1:30" x14ac:dyDescent="0.35">
      <c r="A37" s="13" t="str">
        <f t="shared" si="7"/>
        <v>1Y AAA Corporate</v>
      </c>
      <c r="B37" s="22">
        <f t="shared" si="9"/>
        <v>1</v>
      </c>
      <c r="C37" s="22">
        <f t="shared" si="9"/>
        <v>1</v>
      </c>
      <c r="D37" s="22">
        <f t="shared" si="9"/>
        <v>1</v>
      </c>
      <c r="E37" s="22">
        <f t="shared" si="9"/>
        <v>1</v>
      </c>
      <c r="F37" s="22">
        <f t="shared" si="9"/>
        <v>1</v>
      </c>
      <c r="G37" s="22">
        <f t="shared" si="9"/>
        <v>1</v>
      </c>
      <c r="H37" s="22">
        <f t="shared" si="9"/>
        <v>1</v>
      </c>
      <c r="I37" s="22">
        <f t="shared" si="9"/>
        <v>1</v>
      </c>
      <c r="J37" s="22">
        <f t="shared" si="9"/>
        <v>1</v>
      </c>
      <c r="K37" s="22">
        <f t="shared" si="9"/>
        <v>1</v>
      </c>
      <c r="L37" s="22">
        <f t="shared" si="9"/>
        <v>1</v>
      </c>
      <c r="M37" s="22">
        <f t="shared" si="9"/>
        <v>1</v>
      </c>
      <c r="N37" s="22">
        <f t="shared" si="9"/>
        <v>1</v>
      </c>
      <c r="O37" s="22">
        <f t="shared" si="9"/>
        <v>1</v>
      </c>
      <c r="P37" s="22">
        <f t="shared" si="9"/>
        <v>1</v>
      </c>
      <c r="Q37" s="22">
        <f t="shared" si="9"/>
        <v>1</v>
      </c>
      <c r="R37" s="22">
        <f t="shared" si="9"/>
        <v>1</v>
      </c>
      <c r="S37" s="22">
        <f t="shared" si="9"/>
        <v>1</v>
      </c>
      <c r="T37" s="22">
        <f t="shared" si="9"/>
        <v>1</v>
      </c>
      <c r="U37" s="22">
        <f t="shared" si="9"/>
        <v>1</v>
      </c>
      <c r="V37" s="22">
        <f t="shared" si="9"/>
        <v>1</v>
      </c>
      <c r="W37" s="22">
        <f t="shared" si="9"/>
        <v>1</v>
      </c>
      <c r="X37" s="22">
        <f t="shared" si="9"/>
        <v>1</v>
      </c>
      <c r="Y37" s="22">
        <f t="shared" si="9"/>
        <v>1</v>
      </c>
      <c r="Z37" s="22">
        <f t="shared" si="9"/>
        <v>1</v>
      </c>
      <c r="AA37" s="22">
        <f t="shared" si="9"/>
        <v>1</v>
      </c>
      <c r="AB37" s="22">
        <f t="shared" si="9"/>
        <v>1</v>
      </c>
      <c r="AC37" s="22">
        <f t="shared" si="9"/>
        <v>1</v>
      </c>
      <c r="AD37" s="22">
        <f t="shared" si="9"/>
        <v>1</v>
      </c>
    </row>
    <row r="38" spans="1:30" x14ac:dyDescent="0.35">
      <c r="A38" s="13" t="str">
        <f t="shared" si="7"/>
        <v>2Y AAA Corporate</v>
      </c>
      <c r="B38" s="22">
        <f t="shared" si="9"/>
        <v>1</v>
      </c>
      <c r="C38" s="22">
        <f t="shared" si="9"/>
        <v>0</v>
      </c>
      <c r="D38" s="22">
        <f t="shared" si="9"/>
        <v>1</v>
      </c>
      <c r="E38" s="22">
        <f t="shared" si="9"/>
        <v>0</v>
      </c>
      <c r="F38" s="22">
        <f t="shared" si="9"/>
        <v>1</v>
      </c>
      <c r="G38" s="22">
        <f t="shared" si="9"/>
        <v>0</v>
      </c>
      <c r="H38" s="22">
        <f t="shared" si="9"/>
        <v>1</v>
      </c>
      <c r="I38" s="22">
        <f t="shared" si="9"/>
        <v>0</v>
      </c>
      <c r="J38" s="22">
        <f t="shared" si="9"/>
        <v>1</v>
      </c>
      <c r="K38" s="22">
        <f t="shared" si="9"/>
        <v>0</v>
      </c>
      <c r="L38" s="22">
        <f t="shared" si="9"/>
        <v>1</v>
      </c>
      <c r="M38" s="22">
        <f t="shared" si="9"/>
        <v>0</v>
      </c>
      <c r="N38" s="22">
        <f t="shared" si="9"/>
        <v>1</v>
      </c>
      <c r="O38" s="22">
        <f t="shared" si="9"/>
        <v>0</v>
      </c>
      <c r="P38" s="22">
        <f t="shared" si="9"/>
        <v>1</v>
      </c>
      <c r="Q38" s="22">
        <f t="shared" si="9"/>
        <v>0</v>
      </c>
      <c r="R38" s="22">
        <f t="shared" si="9"/>
        <v>1</v>
      </c>
      <c r="S38" s="22">
        <f t="shared" si="9"/>
        <v>0</v>
      </c>
      <c r="T38" s="22">
        <f t="shared" si="9"/>
        <v>1</v>
      </c>
      <c r="U38" s="22">
        <f t="shared" si="9"/>
        <v>0</v>
      </c>
      <c r="V38" s="22">
        <f t="shared" si="9"/>
        <v>1</v>
      </c>
      <c r="W38" s="22">
        <f t="shared" si="9"/>
        <v>0</v>
      </c>
      <c r="X38" s="22">
        <f t="shared" si="9"/>
        <v>1</v>
      </c>
      <c r="Y38" s="22">
        <f t="shared" si="9"/>
        <v>0</v>
      </c>
      <c r="Z38" s="22">
        <f t="shared" si="9"/>
        <v>1</v>
      </c>
      <c r="AA38" s="22">
        <f t="shared" si="9"/>
        <v>0</v>
      </c>
      <c r="AB38" s="22">
        <f t="shared" si="9"/>
        <v>1</v>
      </c>
      <c r="AC38" s="22">
        <f t="shared" si="9"/>
        <v>0</v>
      </c>
      <c r="AD38" s="22">
        <f t="shared" si="9"/>
        <v>1</v>
      </c>
    </row>
    <row r="39" spans="1:30" x14ac:dyDescent="0.35">
      <c r="A39" s="13" t="str">
        <f t="shared" si="7"/>
        <v>3Y AAA Corporate</v>
      </c>
      <c r="B39" s="22">
        <f t="shared" si="9"/>
        <v>1</v>
      </c>
      <c r="C39" s="22">
        <f t="shared" si="9"/>
        <v>0</v>
      </c>
      <c r="D39" s="22">
        <f t="shared" si="9"/>
        <v>0</v>
      </c>
      <c r="E39" s="22">
        <f t="shared" si="9"/>
        <v>1</v>
      </c>
      <c r="F39" s="22">
        <f t="shared" si="9"/>
        <v>0</v>
      </c>
      <c r="G39" s="22">
        <f t="shared" si="9"/>
        <v>0</v>
      </c>
      <c r="H39" s="22">
        <f t="shared" si="9"/>
        <v>1</v>
      </c>
      <c r="I39" s="22">
        <f t="shared" si="9"/>
        <v>0</v>
      </c>
      <c r="J39" s="22">
        <f t="shared" si="9"/>
        <v>0</v>
      </c>
      <c r="K39" s="22">
        <f t="shared" si="9"/>
        <v>1</v>
      </c>
      <c r="L39" s="22">
        <f t="shared" si="9"/>
        <v>0</v>
      </c>
      <c r="M39" s="22">
        <f t="shared" si="9"/>
        <v>0</v>
      </c>
      <c r="N39" s="22">
        <f t="shared" si="9"/>
        <v>1</v>
      </c>
      <c r="O39" s="22">
        <f t="shared" si="9"/>
        <v>0</v>
      </c>
      <c r="P39" s="22">
        <f t="shared" si="9"/>
        <v>0</v>
      </c>
      <c r="Q39" s="22">
        <f t="shared" si="9"/>
        <v>1</v>
      </c>
      <c r="R39" s="22">
        <f t="shared" si="9"/>
        <v>0</v>
      </c>
      <c r="S39" s="22">
        <f t="shared" si="9"/>
        <v>0</v>
      </c>
      <c r="T39" s="22">
        <f t="shared" si="9"/>
        <v>1</v>
      </c>
      <c r="U39" s="22">
        <f t="shared" si="9"/>
        <v>0</v>
      </c>
      <c r="V39" s="22">
        <f t="shared" si="9"/>
        <v>0</v>
      </c>
      <c r="W39" s="22">
        <f t="shared" si="9"/>
        <v>1</v>
      </c>
      <c r="X39" s="22">
        <f t="shared" si="9"/>
        <v>0</v>
      </c>
      <c r="Y39" s="22">
        <f t="shared" si="9"/>
        <v>0</v>
      </c>
      <c r="Z39" s="22">
        <f t="shared" si="9"/>
        <v>1</v>
      </c>
      <c r="AA39" s="22">
        <f t="shared" si="9"/>
        <v>0</v>
      </c>
      <c r="AB39" s="22">
        <f t="shared" si="9"/>
        <v>0</v>
      </c>
      <c r="AC39" s="22">
        <f t="shared" si="9"/>
        <v>1</v>
      </c>
      <c r="AD39" s="22">
        <f t="shared" si="9"/>
        <v>0</v>
      </c>
    </row>
    <row r="40" spans="1:30" x14ac:dyDescent="0.35">
      <c r="A40" s="13" t="str">
        <f t="shared" si="7"/>
        <v>4Y AAA Corporate</v>
      </c>
      <c r="B40" s="22">
        <f t="shared" si="9"/>
        <v>1</v>
      </c>
      <c r="C40" s="22">
        <f t="shared" si="9"/>
        <v>0</v>
      </c>
      <c r="D40" s="22">
        <f t="shared" si="9"/>
        <v>0</v>
      </c>
      <c r="E40" s="22">
        <f t="shared" si="9"/>
        <v>0</v>
      </c>
      <c r="F40" s="22">
        <f t="shared" si="9"/>
        <v>1</v>
      </c>
      <c r="G40" s="22">
        <f t="shared" si="9"/>
        <v>0</v>
      </c>
      <c r="H40" s="22">
        <f t="shared" si="9"/>
        <v>0</v>
      </c>
      <c r="I40" s="22">
        <f t="shared" si="9"/>
        <v>0</v>
      </c>
      <c r="J40" s="22">
        <f t="shared" si="9"/>
        <v>1</v>
      </c>
      <c r="K40" s="22">
        <f t="shared" si="9"/>
        <v>0</v>
      </c>
      <c r="L40" s="22">
        <f t="shared" si="9"/>
        <v>0</v>
      </c>
      <c r="M40" s="22">
        <f t="shared" si="9"/>
        <v>0</v>
      </c>
      <c r="N40" s="22">
        <f t="shared" si="9"/>
        <v>1</v>
      </c>
      <c r="O40" s="22">
        <f t="shared" si="9"/>
        <v>0</v>
      </c>
      <c r="P40" s="22">
        <f t="shared" si="9"/>
        <v>0</v>
      </c>
      <c r="Q40" s="22">
        <f t="shared" si="9"/>
        <v>0</v>
      </c>
      <c r="R40" s="22">
        <f t="shared" si="9"/>
        <v>1</v>
      </c>
      <c r="S40" s="22">
        <f t="shared" si="9"/>
        <v>0</v>
      </c>
      <c r="T40" s="22">
        <f t="shared" si="9"/>
        <v>0</v>
      </c>
      <c r="U40" s="22">
        <f t="shared" si="9"/>
        <v>0</v>
      </c>
      <c r="V40" s="22">
        <f t="shared" si="9"/>
        <v>1</v>
      </c>
      <c r="W40" s="22">
        <f t="shared" si="9"/>
        <v>0</v>
      </c>
      <c r="X40" s="22">
        <f t="shared" si="9"/>
        <v>0</v>
      </c>
      <c r="Y40" s="22">
        <f t="shared" ref="Y40:AS40" si="10">IF(ISNA(MATCH(Y$30,$B27:$AF27,0)),0,1)</f>
        <v>0</v>
      </c>
      <c r="Z40" s="22">
        <f t="shared" si="10"/>
        <v>1</v>
      </c>
      <c r="AA40" s="22">
        <f t="shared" si="10"/>
        <v>0</v>
      </c>
      <c r="AB40" s="22">
        <f t="shared" si="10"/>
        <v>0</v>
      </c>
      <c r="AC40" s="22">
        <f t="shared" si="10"/>
        <v>0</v>
      </c>
      <c r="AD40" s="22">
        <f t="shared" si="10"/>
        <v>1</v>
      </c>
    </row>
    <row r="41" spans="1:30" x14ac:dyDescent="0.35">
      <c r="A41" s="13" t="str">
        <f t="shared" si="7"/>
        <v>5Y AAA Corporate</v>
      </c>
      <c r="B41" s="22">
        <f t="shared" ref="B41:AD41" si="11">IF(ISNA(MATCH(B$30,$B28:$AF28,0)),0,1)</f>
        <v>1</v>
      </c>
      <c r="C41" s="22">
        <f t="shared" si="11"/>
        <v>0</v>
      </c>
      <c r="D41" s="22">
        <f t="shared" si="11"/>
        <v>0</v>
      </c>
      <c r="E41" s="22">
        <f t="shared" si="11"/>
        <v>0</v>
      </c>
      <c r="F41" s="22">
        <f t="shared" si="11"/>
        <v>0</v>
      </c>
      <c r="G41" s="22">
        <f t="shared" si="11"/>
        <v>1</v>
      </c>
      <c r="H41" s="22">
        <f t="shared" si="11"/>
        <v>0</v>
      </c>
      <c r="I41" s="22">
        <f t="shared" si="11"/>
        <v>0</v>
      </c>
      <c r="J41" s="22">
        <f t="shared" si="11"/>
        <v>0</v>
      </c>
      <c r="K41" s="22">
        <f t="shared" si="11"/>
        <v>0</v>
      </c>
      <c r="L41" s="22">
        <f t="shared" si="11"/>
        <v>1</v>
      </c>
      <c r="M41" s="22">
        <f t="shared" si="11"/>
        <v>0</v>
      </c>
      <c r="N41" s="22">
        <f t="shared" si="11"/>
        <v>0</v>
      </c>
      <c r="O41" s="22">
        <f t="shared" si="11"/>
        <v>0</v>
      </c>
      <c r="P41" s="22">
        <f t="shared" si="11"/>
        <v>0</v>
      </c>
      <c r="Q41" s="22">
        <f t="shared" si="11"/>
        <v>1</v>
      </c>
      <c r="R41" s="22">
        <f t="shared" si="11"/>
        <v>0</v>
      </c>
      <c r="S41" s="22">
        <f t="shared" si="11"/>
        <v>0</v>
      </c>
      <c r="T41" s="22">
        <f t="shared" si="11"/>
        <v>0</v>
      </c>
      <c r="U41" s="22">
        <f t="shared" si="11"/>
        <v>0</v>
      </c>
      <c r="V41" s="22">
        <f t="shared" si="11"/>
        <v>1</v>
      </c>
      <c r="W41" s="22">
        <f t="shared" si="11"/>
        <v>0</v>
      </c>
      <c r="X41" s="22">
        <f t="shared" si="11"/>
        <v>0</v>
      </c>
      <c r="Y41" s="22">
        <f t="shared" si="11"/>
        <v>0</v>
      </c>
      <c r="Z41" s="22">
        <f t="shared" si="11"/>
        <v>0</v>
      </c>
      <c r="AA41" s="22">
        <f t="shared" si="11"/>
        <v>1</v>
      </c>
      <c r="AB41" s="22">
        <f t="shared" si="11"/>
        <v>0</v>
      </c>
      <c r="AC41" s="22">
        <f t="shared" si="11"/>
        <v>0</v>
      </c>
      <c r="AD41" s="22">
        <f t="shared" si="11"/>
        <v>0</v>
      </c>
    </row>
  </sheetData>
  <dataValidations count="1">
    <dataValidation type="whole" allowBlank="1" showInputMessage="1" showErrorMessage="1" promptTitle="YEAR" prompt="Enter a year between 2022 and 2050 in this cell." sqref="B2" xr:uid="{03C4E5F8-1A94-4B18-9925-F2A4876F5FB1}">
      <formula1>2022</formula1>
      <formula2>2050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Kunde</dc:creator>
  <cp:lastModifiedBy>Kunal Kunde</cp:lastModifiedBy>
  <dcterms:created xsi:type="dcterms:W3CDTF">2024-01-26T12:50:47Z</dcterms:created>
  <dcterms:modified xsi:type="dcterms:W3CDTF">2024-01-26T13:01:49Z</dcterms:modified>
</cp:coreProperties>
</file>